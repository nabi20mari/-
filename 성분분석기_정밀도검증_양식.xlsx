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방법" sheetId="1" state="visible" r:id="rId3"/>
    <sheet name="검증" sheetId="2" state="visible" r:id="rId4"/>
    <sheet name="기준SD" sheetId="3" state="visible" r:id="rId5"/>
    <sheet name="원소정보" sheetId="4" state="visible" r:id="rId6"/>
    <sheet name="기준표_확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5" authorId="0">
      <text>
        <r>
          <rPr>
            <sz val="10"/>
            <rFont val="WenQuanYi Zen Hei"/>
            <family val="2"/>
          </rPr>
          <t xml:space="preserve">기준</t>
        </r>
        <r>
          <rPr>
            <sz val="10"/>
            <rFont val="Arial"/>
            <family val="2"/>
          </rPr>
          <t xml:space="preserve">SD </t>
        </r>
        <r>
          <rPr>
            <sz val="10"/>
            <rFont val="WenQuanYi Zen Hei"/>
            <family val="2"/>
          </rPr>
          <t xml:space="preserve">시트에서 같은 베이스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원소의 농도레벨 중 평균값 바로 아래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위 레벨의 </t>
        </r>
        <r>
          <rPr>
            <sz val="10"/>
            <rFont val="Arial"/>
            <family val="2"/>
          </rPr>
          <t xml:space="preserve">SD</t>
        </r>
        <r>
          <rPr>
            <sz val="10"/>
            <rFont val="WenQuanYi Zen Hei"/>
            <family val="2"/>
          </rPr>
          <t xml:space="preserve">를 선형 보간한 값</t>
        </r>
      </text>
    </comment>
    <comment ref="AB5" authorId="0">
      <text>
        <r>
          <rPr>
            <sz val="10"/>
            <rFont val="WenQuanYi Zen Hei"/>
            <family val="2"/>
          </rPr>
          <t xml:space="preserve">보간 근거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자동 계산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감사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검토 시 확인용</t>
        </r>
      </text>
    </comment>
  </commentList>
</comments>
</file>

<file path=xl/sharedStrings.xml><?xml version="1.0" encoding="utf-8"?>
<sst xmlns="http://schemas.openxmlformats.org/spreadsheetml/2006/main" count="423" uniqueCount="99">
  <si>
    <r>
      <rPr>
        <b val="true"/>
        <sz val="14"/>
        <rFont val="WenQuanYi Zen Hei"/>
        <family val="2"/>
      </rPr>
      <t xml:space="preserve">성분분석기 정밀도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정확도 검증 양식</t>
    </r>
  </si>
  <si>
    <t xml:space="preserve">■ 시트 구성</t>
  </si>
  <si>
    <r>
      <rPr>
        <sz val="11"/>
        <rFont val="Arial"/>
        <family val="0"/>
        <charset val="1"/>
      </rPr>
      <t xml:space="preserve">1. </t>
    </r>
    <r>
      <rPr>
        <sz val="11"/>
        <rFont val="WenQuanYi Zen Hei"/>
        <family val="2"/>
      </rPr>
      <t xml:space="preserve">기준</t>
    </r>
    <r>
      <rPr>
        <sz val="11"/>
        <rFont val="Arial"/>
        <family val="0"/>
        <charset val="1"/>
      </rPr>
      <t xml:space="preserve">SD : </t>
    </r>
    <r>
      <rPr>
        <sz val="11"/>
        <rFont val="WenQuanYi Zen Hei"/>
        <family val="2"/>
      </rPr>
      <t xml:space="preserve">제조사 정밀도 표</t>
    </r>
    <r>
      <rPr>
        <sz val="11"/>
        <rFont val="Arial"/>
        <family val="0"/>
        <charset val="1"/>
      </rPr>
      <t xml:space="preserve">(1×SD)</t>
    </r>
    <r>
      <rPr>
        <sz val="11"/>
        <rFont val="WenQuanYi Zen Hei"/>
        <family val="2"/>
      </rPr>
      <t xml:space="preserve">를 </t>
    </r>
    <r>
      <rPr>
        <sz val="11"/>
        <rFont val="Arial"/>
        <family val="0"/>
        <charset val="1"/>
      </rPr>
      <t xml:space="preserve">'</t>
    </r>
    <r>
      <rPr>
        <sz val="11"/>
        <rFont val="WenQuanYi Zen Hei"/>
        <family val="2"/>
      </rPr>
      <t xml:space="preserve">베이스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원소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농도레벨 </t>
    </r>
    <r>
      <rPr>
        <sz val="11"/>
        <rFont val="Arial"/>
        <family val="0"/>
        <charset val="1"/>
      </rPr>
      <t xml:space="preserve">/ SD' </t>
    </r>
    <r>
      <rPr>
        <sz val="11"/>
        <rFont val="WenQuanYi Zen Hei"/>
        <family val="2"/>
      </rPr>
      <t xml:space="preserve">한 줄씩 입력한 </t>
    </r>
    <r>
      <rPr>
        <sz val="11"/>
        <rFont val="Arial"/>
        <family val="0"/>
        <charset val="1"/>
      </rPr>
      <t xml:space="preserve">Back data (</t>
    </r>
    <r>
      <rPr>
        <sz val="11"/>
        <rFont val="WenQuanYi Zen Hei"/>
        <family val="2"/>
      </rPr>
      <t xml:space="preserve">판정 기준값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</si>
  <si>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2. </t>
    </r>
    <r>
      <rPr>
        <sz val="11"/>
        <rFont val="WenQuanYi Zen Hei"/>
        <family val="2"/>
      </rPr>
      <t xml:space="preserve">원소정보 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원소별 </t>
    </r>
    <r>
      <rPr>
        <sz val="11"/>
        <rFont val="Arial"/>
        <family val="0"/>
        <charset val="1"/>
      </rPr>
      <t xml:space="preserve">UV Probe </t>
    </r>
    <r>
      <rPr>
        <sz val="11"/>
        <rFont val="WenQuanYi Zen Hei"/>
        <family val="2"/>
      </rPr>
      <t xml:space="preserve">여부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검출한계</t>
    </r>
    <r>
      <rPr>
        <sz val="11"/>
        <rFont val="Arial"/>
        <family val="0"/>
        <charset val="1"/>
      </rPr>
      <t xml:space="preserve">(ppm), </t>
    </r>
    <r>
      <rPr>
        <sz val="11"/>
        <rFont val="WenQuanYi Zen Hei"/>
        <family val="2"/>
      </rPr>
      <t xml:space="preserve">검량범위 상한</t>
    </r>
    <r>
      <rPr>
        <sz val="11"/>
        <rFont val="Arial"/>
        <family val="0"/>
        <charset val="1"/>
      </rPr>
      <t xml:space="preserve">(%)</t>
    </r>
  </si>
  <si>
    <r>
      <rPr>
        <sz val="11"/>
        <rFont val="Arial"/>
        <family val="0"/>
        <charset val="1"/>
      </rPr>
      <t xml:space="preserve">3. </t>
    </r>
    <r>
      <rPr>
        <sz val="11"/>
        <rFont val="WenQuanYi Zen Hei"/>
        <family val="2"/>
      </rPr>
      <t xml:space="preserve">기준표</t>
    </r>
    <r>
      <rPr>
        <sz val="11"/>
        <rFont val="Arial"/>
        <family val="0"/>
        <charset val="1"/>
      </rPr>
      <t xml:space="preserve">_</t>
    </r>
    <r>
      <rPr>
        <sz val="11"/>
        <rFont val="WenQuanYi Zen Hei"/>
        <family val="2"/>
      </rPr>
      <t xml:space="preserve">확인 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기준</t>
    </r>
    <r>
      <rPr>
        <sz val="11"/>
        <rFont val="Arial"/>
        <family val="0"/>
        <charset val="1"/>
      </rPr>
      <t xml:space="preserve">SD </t>
    </r>
    <r>
      <rPr>
        <sz val="11"/>
        <rFont val="WenQuanYi Zen Hei"/>
        <family val="2"/>
      </rPr>
      <t xml:space="preserve">데이터를 제조사 원본 표 모양으로 다시 펼친 화면 → 종이 원본과 나란히 놓고 오타 확인용</t>
    </r>
  </si>
  <si>
    <r>
      <rPr>
        <sz val="11"/>
        <rFont val="Arial"/>
        <family val="0"/>
        <charset val="1"/>
      </rPr>
      <t xml:space="preserve">4. </t>
    </r>
    <r>
      <rPr>
        <sz val="11"/>
        <rFont val="WenQuanYi Zen Hei"/>
        <family val="2"/>
      </rPr>
      <t xml:space="preserve">검증 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측정값 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회를 입력하면 평균</t>
    </r>
    <r>
      <rPr>
        <sz val="11"/>
        <rFont val="Arial"/>
        <family val="0"/>
        <charset val="1"/>
      </rPr>
      <t xml:space="preserve">·SD·RSD, </t>
    </r>
    <r>
      <rPr>
        <sz val="11"/>
        <rFont val="WenQuanYi Zen Hei"/>
        <family val="2"/>
      </rPr>
      <t xml:space="preserve">제조사 기준</t>
    </r>
    <r>
      <rPr>
        <sz val="11"/>
        <rFont val="Arial"/>
        <family val="0"/>
        <charset val="1"/>
      </rPr>
      <t xml:space="preserve">SD(</t>
    </r>
    <r>
      <rPr>
        <sz val="11"/>
        <rFont val="WenQuanYi Zen Hei"/>
        <family val="2"/>
      </rPr>
      <t xml:space="preserve">보간</t>
    </r>
    <r>
      <rPr>
        <sz val="11"/>
        <rFont val="Arial"/>
        <family val="0"/>
        <charset val="1"/>
      </rPr>
      <t xml:space="preserve">), </t>
    </r>
    <r>
      <rPr>
        <sz val="11"/>
        <rFont val="WenQuanYi Zen Hei"/>
        <family val="2"/>
      </rPr>
      <t xml:space="preserve">정밀도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정확도 판정이 자동 계산</t>
    </r>
  </si>
  <si>
    <t xml:space="preserve">■ 셀 색상 규칙</t>
  </si>
  <si>
    <r>
      <rPr>
        <sz val="11"/>
        <rFont val="WenQuanYi Zen Hei"/>
        <family val="2"/>
      </rPr>
      <t xml:space="preserve">노란 배경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파란 글씨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직접 입력하는 칸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회색 배경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검은 글씨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수식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수정 금지</t>
    </r>
    <r>
      <rPr>
        <sz val="11"/>
        <rFont val="Arial"/>
        <family val="0"/>
        <charset val="1"/>
      </rPr>
      <t xml:space="preserve">)</t>
    </r>
  </si>
  <si>
    <t xml:space="preserve">■ 사용 순서</t>
  </si>
  <si>
    <r>
      <rPr>
        <sz val="11"/>
        <rFont val="Arial"/>
        <family val="0"/>
        <charset val="1"/>
      </rPr>
      <t xml:space="preserve">① '</t>
    </r>
    <r>
      <rPr>
        <sz val="11"/>
        <rFont val="WenQuanYi Zen Hei"/>
        <family val="2"/>
      </rPr>
      <t xml:space="preserve">기준표</t>
    </r>
    <r>
      <rPr>
        <sz val="11"/>
        <rFont val="Arial"/>
        <family val="0"/>
        <charset val="1"/>
      </rPr>
      <t xml:space="preserve">_</t>
    </r>
    <r>
      <rPr>
        <sz val="11"/>
        <rFont val="WenQuanYi Zen Hei"/>
        <family val="2"/>
      </rPr>
      <t xml:space="preserve">확인</t>
    </r>
    <r>
      <rPr>
        <sz val="11"/>
        <rFont val="Arial"/>
        <family val="0"/>
        <charset val="1"/>
      </rPr>
      <t xml:space="preserve">' </t>
    </r>
    <r>
      <rPr>
        <sz val="11"/>
        <rFont val="WenQuanYi Zen Hei"/>
        <family val="2"/>
      </rPr>
      <t xml:space="preserve">시트를 제조사 원본 표와 비교해 입력 오류가 없는지 먼저 확인합니다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</si>
  <si>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② '</t>
    </r>
    <r>
      <rPr>
        <sz val="11"/>
        <rFont val="WenQuanYi Zen Hei"/>
        <family val="2"/>
      </rPr>
      <t xml:space="preserve">검증</t>
    </r>
    <r>
      <rPr>
        <sz val="11"/>
        <rFont val="Arial"/>
        <family val="0"/>
        <charset val="1"/>
      </rPr>
      <t xml:space="preserve">' </t>
    </r>
    <r>
      <rPr>
        <sz val="11"/>
        <rFont val="WenQuanYi Zen Hei"/>
        <family val="2"/>
      </rPr>
      <t xml:space="preserve">시트에서 베이스</t>
    </r>
    <r>
      <rPr>
        <sz val="11"/>
        <rFont val="Arial"/>
        <family val="0"/>
        <charset val="1"/>
      </rPr>
      <t xml:space="preserve">(Fe/Cu/Al), </t>
    </r>
    <r>
      <rPr>
        <sz val="11"/>
        <rFont val="WenQuanYi Zen Hei"/>
        <family val="2"/>
      </rPr>
      <t xml:space="preserve">시편번호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원소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인증값</t>
    </r>
    <r>
      <rPr>
        <sz val="11"/>
        <rFont val="Arial"/>
        <family val="0"/>
        <charset val="1"/>
      </rPr>
      <t xml:space="preserve">, (</t>
    </r>
    <r>
      <rPr>
        <sz val="11"/>
        <rFont val="WenQuanYi Zen Hei"/>
        <family val="2"/>
      </rPr>
      <t xml:space="preserve">있으면</t>
    </r>
    <r>
      <rPr>
        <sz val="11"/>
        <rFont val="Arial"/>
        <family val="0"/>
        <charset val="1"/>
      </rPr>
      <t xml:space="preserve">) </t>
    </r>
    <r>
      <rPr>
        <sz val="11"/>
        <rFont val="WenQuanYi Zen Hei"/>
        <family val="2"/>
      </rPr>
      <t xml:space="preserve">인증불확도를 입력합니다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</si>
  <si>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③ 같은 시편을 연속 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회 측정한 값을 </t>
    </r>
    <r>
      <rPr>
        <sz val="11"/>
        <rFont val="Arial"/>
        <family val="0"/>
        <charset val="1"/>
      </rPr>
      <t xml:space="preserve">'</t>
    </r>
    <r>
      <rPr>
        <sz val="11"/>
        <rFont val="WenQuanYi Zen Hei"/>
        <family val="2"/>
      </rPr>
      <t xml:space="preserve">측정</t>
    </r>
    <r>
      <rPr>
        <sz val="11"/>
        <rFont val="Arial"/>
        <family val="0"/>
        <charset val="1"/>
      </rPr>
      <t xml:space="preserve">1~10' </t>
    </r>
    <r>
      <rPr>
        <sz val="11"/>
        <rFont val="WenQuanYi Zen Hei"/>
        <family val="2"/>
      </rPr>
      <t xml:space="preserve">칸에 입력합니다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최소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회부터 계산</t>
    </r>
    <r>
      <rPr>
        <sz val="11"/>
        <rFont val="Arial"/>
        <family val="0"/>
        <charset val="1"/>
      </rPr>
      <t xml:space="preserve">).</t>
    </r>
  </si>
  <si>
    <r>
      <rPr>
        <sz val="11"/>
        <rFont val="WenQuanYi Zen Hei"/>
        <family val="2"/>
      </rPr>
      <t xml:space="preserve">④ 결과 확인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측정 </t>
    </r>
    <r>
      <rPr>
        <sz val="11"/>
        <rFont val="Arial"/>
        <family val="0"/>
        <charset val="1"/>
      </rPr>
      <t xml:space="preserve">SD ≤ </t>
    </r>
    <r>
      <rPr>
        <sz val="11"/>
        <rFont val="WenQuanYi Zen Hei"/>
        <family val="2"/>
      </rPr>
      <t xml:space="preserve">기준</t>
    </r>
    <r>
      <rPr>
        <sz val="11"/>
        <rFont val="Arial"/>
        <family val="0"/>
        <charset val="1"/>
      </rPr>
      <t xml:space="preserve">SD × </t>
    </r>
    <r>
      <rPr>
        <sz val="11"/>
        <rFont val="WenQuanYi Zen Hei"/>
        <family val="2"/>
      </rPr>
      <t xml:space="preserve">판정계수 → 정밀도 합격 </t>
    </r>
    <r>
      <rPr>
        <sz val="11"/>
        <rFont val="Arial"/>
        <family val="0"/>
        <charset val="1"/>
      </rPr>
      <t xml:space="preserve">/ |</t>
    </r>
    <r>
      <rPr>
        <sz val="11"/>
        <rFont val="WenQuanYi Zen Hei"/>
        <family val="2"/>
      </rPr>
      <t xml:space="preserve">평균</t>
    </r>
    <r>
      <rPr>
        <sz val="11"/>
        <rFont val="Arial"/>
        <family val="0"/>
        <charset val="1"/>
      </rPr>
      <t xml:space="preserve">-</t>
    </r>
    <r>
      <rPr>
        <sz val="11"/>
        <rFont val="WenQuanYi Zen Hei"/>
        <family val="2"/>
      </rPr>
      <t xml:space="preserve">인증값</t>
    </r>
    <r>
      <rPr>
        <sz val="11"/>
        <rFont val="Arial"/>
        <family val="0"/>
        <charset val="1"/>
      </rPr>
      <t xml:space="preserve">| ≤ </t>
    </r>
    <r>
      <rPr>
        <sz val="11"/>
        <rFont val="WenQuanYi Zen Hei"/>
        <family val="2"/>
      </rPr>
      <t xml:space="preserve">허용편차 → 정확도 합격</t>
    </r>
  </si>
  <si>
    <r>
      <rPr>
        <sz val="11"/>
        <rFont val="Arial"/>
        <family val="0"/>
        <charset val="1"/>
      </rPr>
      <t xml:space="preserve">⑤ 6</t>
    </r>
    <r>
      <rPr>
        <sz val="11"/>
        <rFont val="WenQuanYi Zen Hei"/>
        <family val="2"/>
      </rPr>
      <t xml:space="preserve">행의 예시 줄은 확인 후 삭제하거나 덮어써서 사용하세요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</si>
  <si>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■ 기준</t>
    </r>
    <r>
      <rPr>
        <b val="true"/>
        <sz val="11"/>
        <rFont val="Arial"/>
        <family val="0"/>
        <charset val="1"/>
      </rPr>
      <t xml:space="preserve">SD </t>
    </r>
    <r>
      <rPr>
        <b val="true"/>
        <sz val="11"/>
        <rFont val="WenQuanYi Zen Hei"/>
        <family val="2"/>
      </rPr>
      <t xml:space="preserve">계산 방식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선형 보간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</si>
  <si>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제조사 표는 </t>
    </r>
    <r>
      <rPr>
        <sz val="11"/>
        <rFont val="Arial"/>
        <family val="0"/>
        <charset val="1"/>
      </rPr>
      <t xml:space="preserve">0.005, 0.01, 0.05, 0.1, 0.3, 0.5, 1, 2, 5 … % </t>
    </r>
    <r>
      <rPr>
        <sz val="11"/>
        <rFont val="WenQuanYi Zen Hei"/>
        <family val="2"/>
      </rPr>
      <t xml:space="preserve">처럼 정해진 농도에서만 </t>
    </r>
    <r>
      <rPr>
        <sz val="11"/>
        <rFont val="Arial"/>
        <family val="0"/>
        <charset val="1"/>
      </rPr>
      <t xml:space="preserve">SD</t>
    </r>
    <r>
      <rPr>
        <sz val="11"/>
        <rFont val="WenQuanYi Zen Hei"/>
        <family val="2"/>
      </rPr>
      <t xml:space="preserve">를 제공합니다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</si>
  <si>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측정 평균이 두 레벨 사이이면 위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아래 레벨의 </t>
    </r>
    <r>
      <rPr>
        <sz val="11"/>
        <rFont val="Arial"/>
        <family val="0"/>
        <charset val="1"/>
      </rPr>
      <t xml:space="preserve">SD</t>
    </r>
    <r>
      <rPr>
        <sz val="11"/>
        <rFont val="WenQuanYi Zen Hei"/>
        <family val="2"/>
      </rPr>
      <t xml:space="preserve">를 직선으로 보간합니다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</si>
  <si>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  예</t>
    </r>
    <r>
      <rPr>
        <sz val="11"/>
        <rFont val="Arial"/>
        <family val="0"/>
        <charset val="1"/>
      </rPr>
      <t xml:space="preserve">) Mn </t>
    </r>
    <r>
      <rPr>
        <sz val="11"/>
        <rFont val="WenQuanYi Zen Hei"/>
        <family val="2"/>
      </rPr>
      <t xml:space="preserve">평균 </t>
    </r>
    <r>
      <rPr>
        <sz val="11"/>
        <rFont val="Arial"/>
        <family val="0"/>
        <charset val="1"/>
      </rPr>
      <t xml:space="preserve">0.85% → 0.5%(SD 0.006)</t>
    </r>
    <r>
      <rPr>
        <sz val="11"/>
        <rFont val="WenQuanYi Zen Hei"/>
        <family val="2"/>
      </rPr>
      <t xml:space="preserve">와 </t>
    </r>
    <r>
      <rPr>
        <sz val="11"/>
        <rFont val="Arial"/>
        <family val="0"/>
        <charset val="1"/>
      </rPr>
      <t xml:space="preserve">1%(SD 0.012) </t>
    </r>
    <r>
      <rPr>
        <sz val="11"/>
        <rFont val="WenQuanYi Zen Hei"/>
        <family val="2"/>
      </rPr>
      <t xml:space="preserve">사이 → </t>
    </r>
    <r>
      <rPr>
        <sz val="11"/>
        <rFont val="Arial"/>
        <family val="0"/>
        <charset val="1"/>
      </rPr>
      <t xml:space="preserve">0.006 + (0.012-0.006)×(0.85-0.5)/(1-0.5) = 0.0102%</t>
    </r>
  </si>
  <si>
    <r>
      <rPr>
        <sz val="11"/>
        <rFont val="WenQuanYi Zen Hei"/>
        <family val="2"/>
      </rPr>
      <t xml:space="preserve">표의 빈칸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제조사 미제공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은 건너뛰고 값이 있는 레벨끼리 보간합니다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</si>
  <si>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측정값이 표의 최저 레벨보다 낮거나 최고 레벨보다 높으면 끝 레벨 값을 쓰고 </t>
    </r>
    <r>
      <rPr>
        <sz val="11"/>
        <rFont val="Arial"/>
        <family val="0"/>
        <charset val="1"/>
      </rPr>
      <t xml:space="preserve">'</t>
    </r>
    <r>
      <rPr>
        <sz val="11"/>
        <rFont val="WenQuanYi Zen Hei"/>
        <family val="2"/>
      </rPr>
      <t xml:space="preserve">비고</t>
    </r>
    <r>
      <rPr>
        <sz val="11"/>
        <rFont val="Arial"/>
        <family val="0"/>
        <charset val="1"/>
      </rPr>
      <t xml:space="preserve">'</t>
    </r>
    <r>
      <rPr>
        <sz val="11"/>
        <rFont val="WenQuanYi Zen Hei"/>
        <family val="2"/>
      </rPr>
      <t xml:space="preserve">에 표시합니다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</si>
  <si>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■ 판정 기준 설정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검증 시트 상단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</si>
  <si>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판정계수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제조사 값은 </t>
    </r>
    <r>
      <rPr>
        <sz val="11"/>
        <rFont val="Arial"/>
        <family val="0"/>
        <charset val="1"/>
      </rPr>
      <t xml:space="preserve">'Typical(</t>
    </r>
    <r>
      <rPr>
        <sz val="11"/>
        <rFont val="WenQuanYi Zen Hei"/>
        <family val="2"/>
      </rPr>
      <t xml:space="preserve">대표값</t>
    </r>
    <r>
      <rPr>
        <sz val="11"/>
        <rFont val="Arial"/>
        <family val="0"/>
        <charset val="1"/>
      </rPr>
      <t xml:space="preserve">)'</t>
    </r>
    <r>
      <rPr>
        <sz val="11"/>
        <rFont val="WenQuanYi Zen Hei"/>
        <family val="2"/>
      </rPr>
      <t xml:space="preserve">이므로 보증값이 아닙니다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기본 </t>
    </r>
    <r>
      <rPr>
        <sz val="11"/>
        <rFont val="Arial"/>
        <family val="0"/>
        <charset val="1"/>
      </rPr>
      <t xml:space="preserve">1.0 = </t>
    </r>
    <r>
      <rPr>
        <sz val="11"/>
        <rFont val="WenQuanYi Zen Hei"/>
        <family val="2"/>
      </rPr>
      <t xml:space="preserve">제조사 값 이내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사내 기준에 따라 </t>
    </r>
    <r>
      <rPr>
        <sz val="11"/>
        <rFont val="Arial"/>
        <family val="0"/>
        <charset val="1"/>
      </rPr>
      <t xml:space="preserve">1.5 </t>
    </r>
    <r>
      <rPr>
        <sz val="11"/>
        <rFont val="WenQuanYi Zen Hei"/>
        <family val="2"/>
      </rPr>
      <t xml:space="preserve">또는 </t>
    </r>
    <r>
      <rPr>
        <sz val="11"/>
        <rFont val="Arial"/>
        <family val="0"/>
        <charset val="1"/>
      </rPr>
      <t xml:space="preserve">2.0</t>
    </r>
    <r>
      <rPr>
        <sz val="11"/>
        <rFont val="WenQuanYi Zen Hei"/>
        <family val="2"/>
      </rPr>
      <t xml:space="preserve">으로 완화할 수 있습니다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</si>
  <si>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정확도 허용편차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인증불확도를 입력하면 그 값을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비어 있으면 </t>
    </r>
    <r>
      <rPr>
        <sz val="11"/>
        <rFont val="Arial"/>
        <family val="0"/>
        <charset val="1"/>
      </rPr>
      <t xml:space="preserve">'</t>
    </r>
    <r>
      <rPr>
        <sz val="11"/>
        <rFont val="WenQuanYi Zen Hei"/>
        <family val="2"/>
      </rPr>
      <t xml:space="preserve">기준</t>
    </r>
    <r>
      <rPr>
        <sz val="11"/>
        <rFont val="Arial"/>
        <family val="0"/>
        <charset val="1"/>
      </rPr>
      <t xml:space="preserve">SD × </t>
    </r>
    <r>
      <rPr>
        <sz val="11"/>
        <rFont val="WenQuanYi Zen Hei"/>
        <family val="2"/>
      </rPr>
      <t xml:space="preserve">정확도 배수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기본 </t>
    </r>
    <r>
      <rPr>
        <sz val="11"/>
        <rFont val="Arial"/>
        <family val="0"/>
        <charset val="1"/>
      </rPr>
      <t xml:space="preserve">2)'</t>
    </r>
    <r>
      <rPr>
        <sz val="11"/>
        <rFont val="WenQuanYi Zen Hei"/>
        <family val="2"/>
      </rPr>
      <t xml:space="preserve">를 사용합니다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</si>
  <si>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■ Cu / Al </t>
    </r>
    <r>
      <rPr>
        <b val="true"/>
        <sz val="11"/>
        <rFont val="WenQuanYi Zen Hei"/>
        <family val="2"/>
      </rPr>
      <t xml:space="preserve">베이스 기준 추가 방법</t>
    </r>
  </si>
  <si>
    <r>
      <rPr>
        <sz val="11"/>
        <rFont val="WenQuanYi Zen Hei"/>
        <family val="2"/>
      </rPr>
      <t xml:space="preserve">제조사에서 </t>
    </r>
    <r>
      <rPr>
        <sz val="11"/>
        <rFont val="Arial"/>
        <family val="0"/>
        <charset val="1"/>
      </rPr>
      <t xml:space="preserve">Cu-Base, Al-Base </t>
    </r>
    <r>
      <rPr>
        <sz val="11"/>
        <rFont val="WenQuanYi Zen Hei"/>
        <family val="2"/>
      </rPr>
      <t xml:space="preserve">표를 받으면 </t>
    </r>
    <r>
      <rPr>
        <sz val="11"/>
        <rFont val="Arial"/>
        <family val="0"/>
        <charset val="1"/>
      </rPr>
      <t xml:space="preserve">'</t>
    </r>
    <r>
      <rPr>
        <sz val="11"/>
        <rFont val="WenQuanYi Zen Hei"/>
        <family val="2"/>
      </rPr>
      <t xml:space="preserve">기준</t>
    </r>
    <r>
      <rPr>
        <sz val="11"/>
        <rFont val="Arial"/>
        <family val="0"/>
        <charset val="1"/>
      </rPr>
      <t xml:space="preserve">SD' </t>
    </r>
    <r>
      <rPr>
        <sz val="11"/>
        <rFont val="WenQuanYi Zen Hei"/>
        <family val="2"/>
      </rPr>
      <t xml:space="preserve">시트 맨 아래에 베이스명을 </t>
    </r>
    <r>
      <rPr>
        <sz val="11"/>
        <rFont val="Arial"/>
        <family val="0"/>
        <charset val="1"/>
      </rPr>
      <t xml:space="preserve">'Cu' </t>
    </r>
    <r>
      <rPr>
        <sz val="11"/>
        <rFont val="WenQuanYi Zen Hei"/>
        <family val="2"/>
      </rPr>
      <t xml:space="preserve">또는 </t>
    </r>
    <r>
      <rPr>
        <sz val="11"/>
        <rFont val="Arial"/>
        <family val="0"/>
        <charset val="1"/>
      </rPr>
      <t xml:space="preserve">'Al'</t>
    </r>
    <r>
      <rPr>
        <sz val="11"/>
        <rFont val="WenQuanYi Zen Hei"/>
        <family val="2"/>
      </rPr>
      <t xml:space="preserve">로 하여 같은 형식으로 이어서 입력합니다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</si>
  <si>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'</t>
    </r>
    <r>
      <rPr>
        <sz val="11"/>
        <rFont val="WenQuanYi Zen Hei"/>
        <family val="2"/>
      </rPr>
      <t xml:space="preserve">원소정보</t>
    </r>
    <r>
      <rPr>
        <sz val="11"/>
        <rFont val="Arial"/>
        <family val="0"/>
        <charset val="1"/>
      </rPr>
      <t xml:space="preserve">' </t>
    </r>
    <r>
      <rPr>
        <sz val="11"/>
        <rFont val="WenQuanYi Zen Hei"/>
        <family val="2"/>
      </rPr>
      <t xml:space="preserve">시트에도 같은 방식으로 원소별 검출한계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검량범위를 추가합니다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행 순서는 상관없습니다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</si>
  <si>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'</t>
    </r>
    <r>
      <rPr>
        <sz val="11"/>
        <rFont val="WenQuanYi Zen Hei"/>
        <family val="2"/>
      </rPr>
      <t xml:space="preserve">기준표</t>
    </r>
    <r>
      <rPr>
        <sz val="11"/>
        <rFont val="Arial"/>
        <family val="0"/>
        <charset val="1"/>
      </rPr>
      <t xml:space="preserve">_</t>
    </r>
    <r>
      <rPr>
        <sz val="11"/>
        <rFont val="WenQuanYi Zen Hei"/>
        <family val="2"/>
      </rPr>
      <t xml:space="preserve">확인</t>
    </r>
    <r>
      <rPr>
        <sz val="11"/>
        <rFont val="Arial"/>
        <family val="0"/>
        <charset val="1"/>
      </rPr>
      <t xml:space="preserve">' </t>
    </r>
    <r>
      <rPr>
        <sz val="11"/>
        <rFont val="WenQuanYi Zen Hei"/>
        <family val="2"/>
      </rPr>
      <t xml:space="preserve">시트 </t>
    </r>
    <r>
      <rPr>
        <sz val="11"/>
        <rFont val="Arial"/>
        <family val="0"/>
        <charset val="1"/>
      </rPr>
      <t xml:space="preserve">B1</t>
    </r>
    <r>
      <rPr>
        <sz val="11"/>
        <rFont val="WenQuanYi Zen Hei"/>
        <family val="2"/>
      </rPr>
      <t xml:space="preserve">의 베이스를 바꾸고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행의 원소명을 해당 표에 맞게 바꾸면 원본 모양으로 확인할 수 있습니다</t>
    </r>
    <r>
      <rPr>
        <sz val="11"/>
        <rFont val="Arial"/>
        <family val="0"/>
        <charset val="1"/>
      </rPr>
      <t xml:space="preserve">.</t>
    </r>
  </si>
  <si>
    <t xml:space="preserve">■ 참고</t>
  </si>
  <si>
    <r>
      <rPr>
        <sz val="11"/>
        <rFont val="Arial"/>
        <family val="0"/>
        <charset val="1"/>
      </rPr>
      <t xml:space="preserve">MAXIFS / MINIFS </t>
    </r>
    <r>
      <rPr>
        <sz val="11"/>
        <rFont val="WenQuanYi Zen Hei"/>
        <family val="2"/>
      </rPr>
      <t xml:space="preserve">함수를 사용하므로 </t>
    </r>
    <r>
      <rPr>
        <sz val="11"/>
        <rFont val="Arial"/>
        <family val="0"/>
        <charset val="1"/>
      </rPr>
      <t xml:space="preserve">Excel 2019 </t>
    </r>
    <r>
      <rPr>
        <sz val="11"/>
        <rFont val="WenQuanYi Zen Hei"/>
        <family val="2"/>
      </rPr>
      <t xml:space="preserve">이상 또는 </t>
    </r>
    <r>
      <rPr>
        <sz val="11"/>
        <rFont val="Arial"/>
        <family val="0"/>
        <charset val="1"/>
      </rPr>
      <t xml:space="preserve">Microsoft 365</t>
    </r>
    <r>
      <rPr>
        <sz val="11"/>
        <rFont val="WenQuanYi Zen Hei"/>
        <family val="2"/>
      </rPr>
      <t xml:space="preserve">가 필요합니다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</si>
  <si>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출처</t>
    </r>
    <r>
      <rPr>
        <sz val="11"/>
        <rFont val="Arial"/>
        <family val="0"/>
        <charset val="1"/>
      </rPr>
      <t xml:space="preserve">: SPECTRO Application Report, 6. Typical Detection Limits and Precision Fe-Base (</t>
    </r>
    <r>
      <rPr>
        <sz val="11"/>
        <rFont val="WenQuanYi Zen Hei"/>
        <family val="2"/>
      </rPr>
      <t xml:space="preserve">제조사 제공</t>
    </r>
    <r>
      <rPr>
        <sz val="11"/>
        <rFont val="Arial"/>
        <family val="0"/>
        <charset val="1"/>
      </rPr>
      <t xml:space="preserve">)</t>
    </r>
  </si>
  <si>
    <t xml:space="preserve">판정 설정</t>
  </si>
  <si>
    <t xml:space="preserve">정밀도 판정계수</t>
  </si>
  <si>
    <r>
      <rPr>
        <i val="true"/>
        <sz val="11"/>
        <color rgb="FF808080"/>
        <rFont val="WenQuanYi Zen Hei"/>
        <family val="2"/>
      </rPr>
      <t xml:space="preserve">합격</t>
    </r>
    <r>
      <rPr>
        <i val="true"/>
        <sz val="11"/>
        <color rgb="FF808080"/>
        <rFont val="Arial"/>
        <family val="0"/>
        <charset val="1"/>
      </rPr>
      <t xml:space="preserve">: </t>
    </r>
    <r>
      <rPr>
        <i val="true"/>
        <sz val="11"/>
        <color rgb="FF808080"/>
        <rFont val="WenQuanYi Zen Hei"/>
        <family val="2"/>
      </rPr>
      <t xml:space="preserve">측정 </t>
    </r>
    <r>
      <rPr>
        <i val="true"/>
        <sz val="11"/>
        <color rgb="FF808080"/>
        <rFont val="Arial"/>
        <family val="0"/>
        <charset val="1"/>
      </rPr>
      <t xml:space="preserve">SD ≤ </t>
    </r>
    <r>
      <rPr>
        <i val="true"/>
        <sz val="11"/>
        <color rgb="FF808080"/>
        <rFont val="WenQuanYi Zen Hei"/>
        <family val="2"/>
      </rPr>
      <t xml:space="preserve">기준</t>
    </r>
    <r>
      <rPr>
        <i val="true"/>
        <sz val="11"/>
        <color rgb="FF808080"/>
        <rFont val="Arial"/>
        <family val="0"/>
        <charset val="1"/>
      </rPr>
      <t xml:space="preserve">SD × </t>
    </r>
    <r>
      <rPr>
        <i val="true"/>
        <sz val="11"/>
        <color rgb="FF808080"/>
        <rFont val="WenQuanYi Zen Hei"/>
        <family val="2"/>
      </rPr>
      <t xml:space="preserve">판정계수 </t>
    </r>
    <r>
      <rPr>
        <i val="true"/>
        <sz val="11"/>
        <color rgb="FF808080"/>
        <rFont val="Arial"/>
        <family val="0"/>
        <charset val="1"/>
      </rPr>
      <t xml:space="preserve">(</t>
    </r>
    <r>
      <rPr>
        <i val="true"/>
        <sz val="11"/>
        <color rgb="FF808080"/>
        <rFont val="WenQuanYi Zen Hei"/>
        <family val="2"/>
      </rPr>
      <t xml:space="preserve">제조사 값은 </t>
    </r>
    <r>
      <rPr>
        <i val="true"/>
        <sz val="11"/>
        <color rgb="FF808080"/>
        <rFont val="Arial"/>
        <family val="0"/>
        <charset val="1"/>
      </rPr>
      <t xml:space="preserve">Typical </t>
    </r>
    <r>
      <rPr>
        <i val="true"/>
        <sz val="11"/>
        <color rgb="FF808080"/>
        <rFont val="WenQuanYi Zen Hei"/>
        <family val="2"/>
      </rPr>
      <t xml:space="preserve">값 </t>
    </r>
    <r>
      <rPr>
        <i val="true"/>
        <sz val="11"/>
        <color rgb="FF808080"/>
        <rFont val="Arial"/>
        <family val="0"/>
        <charset val="1"/>
      </rPr>
      <t xml:space="preserve">- </t>
    </r>
    <r>
      <rPr>
        <i val="true"/>
        <sz val="11"/>
        <color rgb="FF808080"/>
        <rFont val="WenQuanYi Zen Hei"/>
        <family val="2"/>
      </rPr>
      <t xml:space="preserve">사내 기준에 맞게 </t>
    </r>
    <r>
      <rPr>
        <i val="true"/>
        <sz val="11"/>
        <color rgb="FF808080"/>
        <rFont val="Arial"/>
        <family val="0"/>
        <charset val="1"/>
      </rPr>
      <t xml:space="preserve">1.0~2.0)</t>
    </r>
  </si>
  <si>
    <t xml:space="preserve">정확도 허용 배수</t>
  </si>
  <si>
    <r>
      <rPr>
        <i val="true"/>
        <sz val="11"/>
        <color rgb="FF808080"/>
        <rFont val="WenQuanYi Zen Hei"/>
        <family val="2"/>
      </rPr>
      <t xml:space="preserve">인증불확도 미입력 시 허용편차 </t>
    </r>
    <r>
      <rPr>
        <i val="true"/>
        <sz val="11"/>
        <color rgb="FF808080"/>
        <rFont val="Arial"/>
        <family val="0"/>
        <charset val="1"/>
      </rPr>
      <t xml:space="preserve">= </t>
    </r>
    <r>
      <rPr>
        <i val="true"/>
        <sz val="11"/>
        <color rgb="FF808080"/>
        <rFont val="WenQuanYi Zen Hei"/>
        <family val="2"/>
      </rPr>
      <t xml:space="preserve">기준</t>
    </r>
    <r>
      <rPr>
        <i val="true"/>
        <sz val="11"/>
        <color rgb="FF808080"/>
        <rFont val="Arial"/>
        <family val="0"/>
        <charset val="1"/>
      </rPr>
      <t xml:space="preserve">SD × </t>
    </r>
    <r>
      <rPr>
        <i val="true"/>
        <sz val="11"/>
        <color rgb="FF808080"/>
        <rFont val="WenQuanYi Zen Hei"/>
        <family val="2"/>
      </rPr>
      <t xml:space="preserve">이 배수</t>
    </r>
  </si>
  <si>
    <t xml:space="preserve">베이스</t>
  </si>
  <si>
    <t xml:space="preserve">시편번호</t>
  </si>
  <si>
    <t xml:space="preserve">원소</t>
  </si>
  <si>
    <r>
      <rPr>
        <b val="true"/>
        <sz val="11"/>
        <color rgb="FFFFFFFF"/>
        <rFont val="WenQuanYi Zen Hei"/>
        <family val="2"/>
      </rPr>
      <t xml:space="preserve">인증값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</si>
  <si>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WenQuanYi Zen Hei"/>
        <family val="2"/>
      </rPr>
      <t xml:space="preserve">인증불확도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</si>
  <si>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WenQuanYi Zen Hei"/>
        <family val="2"/>
      </rPr>
      <t xml:space="preserve">측정</t>
    </r>
    <r>
      <rPr>
        <b val="true"/>
        <sz val="11"/>
        <color rgb="FFFFFFFF"/>
        <rFont val="Arial"/>
        <family val="0"/>
        <charset val="1"/>
      </rPr>
      <t xml:space="preserve">1</t>
    </r>
  </si>
  <si>
    <r>
      <rPr>
        <b val="true"/>
        <sz val="11"/>
        <color rgb="FFFFFFFF"/>
        <rFont val="WenQuanYi Zen Hei"/>
        <family val="2"/>
      </rPr>
      <t xml:space="preserve">측정</t>
    </r>
    <r>
      <rPr>
        <b val="true"/>
        <sz val="11"/>
        <color rgb="FFFFFFFF"/>
        <rFont val="Arial"/>
        <family val="0"/>
        <charset val="1"/>
      </rPr>
      <t xml:space="preserve">2</t>
    </r>
  </si>
  <si>
    <r>
      <rPr>
        <b val="true"/>
        <sz val="11"/>
        <color rgb="FFFFFFFF"/>
        <rFont val="WenQuanYi Zen Hei"/>
        <family val="2"/>
      </rPr>
      <t xml:space="preserve">측정</t>
    </r>
    <r>
      <rPr>
        <b val="true"/>
        <sz val="11"/>
        <color rgb="FFFFFFFF"/>
        <rFont val="Arial"/>
        <family val="0"/>
        <charset val="1"/>
      </rPr>
      <t xml:space="preserve">3</t>
    </r>
  </si>
  <si>
    <r>
      <rPr>
        <b val="true"/>
        <sz val="11"/>
        <color rgb="FFFFFFFF"/>
        <rFont val="WenQuanYi Zen Hei"/>
        <family val="2"/>
      </rPr>
      <t xml:space="preserve">측정</t>
    </r>
    <r>
      <rPr>
        <b val="true"/>
        <sz val="11"/>
        <color rgb="FFFFFFFF"/>
        <rFont val="Arial"/>
        <family val="0"/>
        <charset val="1"/>
      </rPr>
      <t xml:space="preserve">4</t>
    </r>
  </si>
  <si>
    <r>
      <rPr>
        <b val="true"/>
        <sz val="11"/>
        <color rgb="FFFFFFFF"/>
        <rFont val="WenQuanYi Zen Hei"/>
        <family val="2"/>
      </rPr>
      <t xml:space="preserve">측정</t>
    </r>
    <r>
      <rPr>
        <b val="true"/>
        <sz val="11"/>
        <color rgb="FFFFFFFF"/>
        <rFont val="Arial"/>
        <family val="0"/>
        <charset val="1"/>
      </rPr>
      <t xml:space="preserve">5</t>
    </r>
  </si>
  <si>
    <r>
      <rPr>
        <b val="true"/>
        <sz val="11"/>
        <color rgb="FFFFFFFF"/>
        <rFont val="WenQuanYi Zen Hei"/>
        <family val="2"/>
      </rPr>
      <t xml:space="preserve">측정</t>
    </r>
    <r>
      <rPr>
        <b val="true"/>
        <sz val="11"/>
        <color rgb="FFFFFFFF"/>
        <rFont val="Arial"/>
        <family val="0"/>
        <charset val="1"/>
      </rPr>
      <t xml:space="preserve">6</t>
    </r>
  </si>
  <si>
    <r>
      <rPr>
        <b val="true"/>
        <sz val="11"/>
        <color rgb="FFFFFFFF"/>
        <rFont val="WenQuanYi Zen Hei"/>
        <family val="2"/>
      </rPr>
      <t xml:space="preserve">측정</t>
    </r>
    <r>
      <rPr>
        <b val="true"/>
        <sz val="11"/>
        <color rgb="FFFFFFFF"/>
        <rFont val="Arial"/>
        <family val="0"/>
        <charset val="1"/>
      </rPr>
      <t xml:space="preserve">7</t>
    </r>
  </si>
  <si>
    <r>
      <rPr>
        <b val="true"/>
        <sz val="11"/>
        <color rgb="FFFFFFFF"/>
        <rFont val="WenQuanYi Zen Hei"/>
        <family val="2"/>
      </rPr>
      <t xml:space="preserve">측정</t>
    </r>
    <r>
      <rPr>
        <b val="true"/>
        <sz val="11"/>
        <color rgb="FFFFFFFF"/>
        <rFont val="Arial"/>
        <family val="0"/>
        <charset val="1"/>
      </rPr>
      <t xml:space="preserve">8</t>
    </r>
  </si>
  <si>
    <r>
      <rPr>
        <b val="true"/>
        <sz val="11"/>
        <color rgb="FFFFFFFF"/>
        <rFont val="WenQuanYi Zen Hei"/>
        <family val="2"/>
      </rPr>
      <t xml:space="preserve">측정</t>
    </r>
    <r>
      <rPr>
        <b val="true"/>
        <sz val="11"/>
        <color rgb="FFFFFFFF"/>
        <rFont val="Arial"/>
        <family val="0"/>
        <charset val="1"/>
      </rPr>
      <t xml:space="preserve">9</t>
    </r>
  </si>
  <si>
    <r>
      <rPr>
        <b val="true"/>
        <sz val="11"/>
        <color rgb="FFFFFFFF"/>
        <rFont val="WenQuanYi Zen Hei"/>
        <family val="2"/>
      </rPr>
      <t xml:space="preserve">측정</t>
    </r>
    <r>
      <rPr>
        <b val="true"/>
        <sz val="11"/>
        <color rgb="FFFFFFFF"/>
        <rFont val="Arial"/>
        <family val="0"/>
        <charset val="1"/>
      </rPr>
      <t xml:space="preserve">10</t>
    </r>
  </si>
  <si>
    <t xml:space="preserve">측정횟수</t>
  </si>
  <si>
    <r>
      <rPr>
        <b val="true"/>
        <sz val="11"/>
        <color rgb="FFFFFFFF"/>
        <rFont val="WenQuanYi Zen Hei"/>
        <family val="2"/>
      </rPr>
      <t xml:space="preserve">평균</t>
    </r>
    <r>
      <rPr>
        <b val="true"/>
        <sz val="11"/>
        <color rgb="FFFFFFFF"/>
        <rFont val="Arial"/>
        <family val="0"/>
        <charset val="1"/>
      </rPr>
      <t xml:space="preserve">(%)</t>
    </r>
  </si>
  <si>
    <t xml:space="preserve">SD(%)</t>
  </si>
  <si>
    <t xml:space="preserve">RSD(%)</t>
  </si>
  <si>
    <r>
      <rPr>
        <b val="true"/>
        <sz val="11"/>
        <color rgb="FFFFFFFF"/>
        <rFont val="WenQuanYi Zen Hei"/>
        <family val="2"/>
      </rPr>
      <t xml:space="preserve">기준</t>
    </r>
    <r>
      <rPr>
        <b val="true"/>
        <sz val="11"/>
        <color rgb="FFFFFFFF"/>
        <rFont val="Arial"/>
        <family val="0"/>
        <charset val="1"/>
      </rPr>
      <t xml:space="preserve">SD(%)
(</t>
    </r>
    <r>
      <rPr>
        <b val="true"/>
        <sz val="11"/>
        <color rgb="FFFFFFFF"/>
        <rFont val="WenQuanYi Zen Hei"/>
        <family val="2"/>
      </rPr>
      <t xml:space="preserve">보간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</si>
  <si>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SD</t>
    </r>
    <r>
      <rPr>
        <b val="true"/>
        <sz val="11"/>
        <color rgb="FFFFFFFF"/>
        <rFont val="WenQuanYi Zen Hei"/>
        <family val="2"/>
      </rPr>
      <t xml:space="preserve">비
측정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기준</t>
    </r>
  </si>
  <si>
    <t xml:space="preserve">정밀도
판정</t>
  </si>
  <si>
    <r>
      <rPr>
        <b val="true"/>
        <sz val="11"/>
        <color rgb="FFFFFFFF"/>
        <rFont val="WenQuanYi Zen Hei"/>
        <family val="2"/>
      </rPr>
      <t xml:space="preserve">편차</t>
    </r>
    <r>
      <rPr>
        <b val="true"/>
        <sz val="11"/>
        <color rgb="FFFFFFFF"/>
        <rFont val="Arial"/>
        <family val="0"/>
        <charset val="1"/>
      </rPr>
      <t xml:space="preserve">(%)
</t>
    </r>
    <r>
      <rPr>
        <b val="true"/>
        <sz val="11"/>
        <color rgb="FFFFFFFF"/>
        <rFont val="WenQuanYi Zen Hei"/>
        <family val="2"/>
      </rPr>
      <t xml:space="preserve">평균</t>
    </r>
    <r>
      <rPr>
        <b val="true"/>
        <sz val="11"/>
        <color rgb="FFFFFFFF"/>
        <rFont val="Arial"/>
        <family val="0"/>
        <charset val="1"/>
      </rPr>
      <t xml:space="preserve">-</t>
    </r>
    <r>
      <rPr>
        <b val="true"/>
        <sz val="11"/>
        <color rgb="FFFFFFFF"/>
        <rFont val="WenQuanYi Zen Hei"/>
        <family val="2"/>
      </rPr>
      <t xml:space="preserve">인증</t>
    </r>
  </si>
  <si>
    <r>
      <rPr>
        <b val="true"/>
        <sz val="11"/>
        <color rgb="FFFFFFFF"/>
        <rFont val="WenQuanYi Zen Hei"/>
        <family val="2"/>
      </rPr>
      <t xml:space="preserve">허용편차</t>
    </r>
    <r>
      <rPr>
        <b val="true"/>
        <sz val="11"/>
        <color rgb="FFFFFFFF"/>
        <rFont val="Arial"/>
        <family val="0"/>
        <charset val="1"/>
      </rPr>
      <t xml:space="preserve">(%)</t>
    </r>
  </si>
  <si>
    <t xml:space="preserve">정확도
판정</t>
  </si>
  <si>
    <t xml:space="preserve">비고</t>
  </si>
  <si>
    <t xml:space="preserve">키</t>
  </si>
  <si>
    <t xml:space="preserve">하한레벨</t>
  </si>
  <si>
    <t xml:space="preserve">상한레벨</t>
  </si>
  <si>
    <r>
      <rPr>
        <b val="true"/>
        <sz val="11"/>
        <color rgb="FFFFFFFF"/>
        <rFont val="WenQuanYi Zen Hei"/>
        <family val="2"/>
      </rPr>
      <t xml:space="preserve">하한</t>
    </r>
    <r>
      <rPr>
        <b val="true"/>
        <sz val="11"/>
        <color rgb="FFFFFFFF"/>
        <rFont val="Arial"/>
        <family val="0"/>
        <charset val="1"/>
      </rPr>
      <t xml:space="preserve">SD</t>
    </r>
  </si>
  <si>
    <r>
      <rPr>
        <b val="true"/>
        <sz val="11"/>
        <color rgb="FFFFFFFF"/>
        <rFont val="WenQuanYi Zen Hei"/>
        <family val="2"/>
      </rPr>
      <t xml:space="preserve">상한</t>
    </r>
    <r>
      <rPr>
        <b val="true"/>
        <sz val="11"/>
        <color rgb="FFFFFFFF"/>
        <rFont val="Arial"/>
        <family val="0"/>
        <charset val="1"/>
      </rPr>
      <t xml:space="preserve">SD</t>
    </r>
  </si>
  <si>
    <t xml:space="preserve">Fe</t>
  </si>
  <si>
    <r>
      <rPr>
        <sz val="11"/>
        <color rgb="FF0000FF"/>
        <rFont val="WenQuanYi Zen Hei"/>
        <family val="2"/>
      </rPr>
      <t xml:space="preserve">예시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삭제 후 사용</t>
    </r>
    <r>
      <rPr>
        <sz val="11"/>
        <color rgb="FF0000FF"/>
        <rFont val="Arial"/>
        <family val="0"/>
        <charset val="1"/>
      </rPr>
      <t xml:space="preserve">)</t>
    </r>
  </si>
  <si>
    <t xml:space="preserve">Mn</t>
  </si>
  <si>
    <t xml:space="preserve">Al</t>
  </si>
  <si>
    <t xml:space="preserve">As</t>
  </si>
  <si>
    <t xml:space="preserve">B</t>
  </si>
  <si>
    <t xml:space="preserve">C</t>
  </si>
  <si>
    <t xml:space="preserve">C(air)</t>
  </si>
  <si>
    <t xml:space="preserve">Co</t>
  </si>
  <si>
    <t xml:space="preserve">Cr</t>
  </si>
  <si>
    <t xml:space="preserve">Cu</t>
  </si>
  <si>
    <t xml:space="preserve">Mg</t>
  </si>
  <si>
    <t xml:space="preserve">Mo</t>
  </si>
  <si>
    <t xml:space="preserve">Nb</t>
  </si>
  <si>
    <t xml:space="preserve">Ni</t>
  </si>
  <si>
    <t xml:space="preserve">P</t>
  </si>
  <si>
    <t xml:space="preserve">Pb</t>
  </si>
  <si>
    <t xml:space="preserve">S</t>
  </si>
  <si>
    <t xml:space="preserve">Si</t>
  </si>
  <si>
    <t xml:space="preserve">Sn</t>
  </si>
  <si>
    <r>
      <rPr>
        <b val="true"/>
        <sz val="11"/>
        <color rgb="FFFFFFFF"/>
        <rFont val="WenQuanYi Zen Hei"/>
        <family val="2"/>
      </rPr>
      <t xml:space="preserve">농도레벨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</si>
  <si>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WenQuanYi Zen Hei"/>
        <family val="2"/>
      </rPr>
      <t xml:space="preserve">정밀도 </t>
    </r>
    <r>
      <rPr>
        <b val="true"/>
        <sz val="11"/>
        <color rgb="FFFFFFFF"/>
        <rFont val="Arial"/>
        <family val="0"/>
        <charset val="1"/>
      </rPr>
      <t xml:space="preserve">1×SD(%)</t>
    </r>
  </si>
  <si>
    <r>
      <rPr>
        <b val="true"/>
        <sz val="11"/>
        <color rgb="FFFFFFFF"/>
        <rFont val="WenQuanYi Zen Hei"/>
        <family val="2"/>
      </rPr>
      <t xml:space="preserve">키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자동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</si>
  <si>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원본 표 값 그대로 입력</t>
    </r>
    <r>
      <rPr>
        <sz val="11"/>
        <rFont val="Arial"/>
        <family val="0"/>
        <charset val="1"/>
      </rPr>
      <t xml:space="preserve">(0.100% </t>
    </r>
    <r>
      <rPr>
        <sz val="11"/>
        <rFont val="WenQuanYi Zen Hei"/>
        <family val="2"/>
      </rPr>
      <t xml:space="preserve">레벨보다 작음</t>
    </r>
    <r>
      <rPr>
        <sz val="11"/>
        <rFont val="Arial"/>
        <family val="0"/>
        <charset val="1"/>
      </rPr>
      <t xml:space="preserve">) - </t>
    </r>
    <r>
      <rPr>
        <sz val="11"/>
        <rFont val="WenQuanYi Zen Hei"/>
        <family val="2"/>
      </rPr>
      <t xml:space="preserve">제조사 확인 권장</t>
    </r>
  </si>
  <si>
    <t xml:space="preserve">UV Probe</t>
  </si>
  <si>
    <r>
      <rPr>
        <b val="true"/>
        <sz val="11"/>
        <color rgb="FFFFFFFF"/>
        <rFont val="WenQuanYi Zen Hei"/>
        <family val="2"/>
      </rPr>
      <t xml:space="preserve">검출한계</t>
    </r>
    <r>
      <rPr>
        <b val="true"/>
        <sz val="11"/>
        <color rgb="FFFFFFFF"/>
        <rFont val="Arial"/>
        <family val="0"/>
        <charset val="1"/>
      </rPr>
      <t xml:space="preserve">(ppm)</t>
    </r>
  </si>
  <si>
    <r>
      <rPr>
        <b val="true"/>
        <sz val="11"/>
        <color rgb="FFFFFFFF"/>
        <rFont val="WenQuanYi Zen Hei"/>
        <family val="2"/>
      </rPr>
      <t xml:space="preserve">검량범위 상한</t>
    </r>
    <r>
      <rPr>
        <b val="true"/>
        <sz val="11"/>
        <color rgb="FFFFFFFF"/>
        <rFont val="Arial"/>
        <family val="0"/>
        <charset val="1"/>
      </rPr>
      <t xml:space="preserve">(%)</t>
    </r>
  </si>
  <si>
    <t xml:space="preserve">O</t>
  </si>
  <si>
    <t xml:space="preserve">베이스 선택</t>
  </si>
  <si>
    <r>
      <rPr>
        <i val="true"/>
        <sz val="11"/>
        <color rgb="FF808080"/>
        <rFont val="Arial"/>
        <family val="0"/>
        <charset val="1"/>
      </rPr>
      <t xml:space="preserve">← Fe/Cu/Al </t>
    </r>
    <r>
      <rPr>
        <i val="true"/>
        <sz val="11"/>
        <color rgb="FF808080"/>
        <rFont val="WenQuanYi Zen Hei"/>
        <family val="2"/>
      </rPr>
      <t xml:space="preserve">선택 후</t>
    </r>
    <r>
      <rPr>
        <i val="true"/>
        <sz val="11"/>
        <color rgb="FF808080"/>
        <rFont val="Arial"/>
        <family val="0"/>
        <charset val="1"/>
      </rPr>
      <t xml:space="preserve">, 3</t>
    </r>
    <r>
      <rPr>
        <i val="true"/>
        <sz val="11"/>
        <color rgb="FF808080"/>
        <rFont val="WenQuanYi Zen Hei"/>
        <family val="2"/>
      </rPr>
      <t xml:space="preserve">행 원소명을 해당 표에 맞게 수정</t>
    </r>
  </si>
  <si>
    <r>
      <rPr>
        <b val="true"/>
        <sz val="11"/>
        <rFont val="WenQuanYi Zen Hei"/>
        <family val="2"/>
      </rPr>
      <t xml:space="preserve">검출한계</t>
    </r>
    <r>
      <rPr>
        <b val="true"/>
        <sz val="11"/>
        <rFont val="Arial"/>
        <family val="0"/>
        <charset val="1"/>
      </rPr>
      <t xml:space="preserve">(ppm)</t>
    </r>
  </si>
  <si>
    <r>
      <rPr>
        <b val="true"/>
        <sz val="11"/>
        <rFont val="WenQuanYi Zen Hei"/>
        <family val="2"/>
      </rPr>
      <t xml:space="preserve">검량범위</t>
    </r>
    <r>
      <rPr>
        <b val="true"/>
        <sz val="11"/>
        <rFont val="Arial"/>
        <family val="0"/>
        <charset val="1"/>
      </rPr>
      <t xml:space="preserve">(%)</t>
    </r>
  </si>
  <si>
    <t xml:space="preserve">Conc. level(%) / 1×SD(%)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</si>
</sst>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General"/>
    <numFmt numFmtId="167" formatCode="0.00"/>
    <numFmt numFmtId="168" formatCode="\+0.0000;\-0.0000;0.0000"/>
    <numFmt numFmtId="169" formatCode="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sz val="11"/>
      <name val="WenQuanYi Zen Hei"/>
      <family val="2"/>
    </font>
    <font>
      <b val="true"/>
      <sz val="11"/>
      <name val="Arial"/>
      <family val="0"/>
      <charset val="1"/>
    </font>
    <font>
      <sz val="11"/>
      <color theme="1"/>
      <name val="WenQuanYi Zen Hei"/>
      <family val="2"/>
    </font>
    <font>
      <sz val="11"/>
      <color rgb="FF0000FF"/>
      <name val="Arial"/>
      <family val="0"/>
      <charset val="1"/>
    </font>
    <font>
      <i val="true"/>
      <sz val="11"/>
      <color rgb="FF808080"/>
      <name val="WenQuanYi Zen Hei"/>
      <family val="2"/>
    </font>
    <font>
      <i val="true"/>
      <sz val="11"/>
      <color rgb="FF808080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  <font>
      <b val="true"/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305496"/>
        <bgColor rgb="FF6666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9.4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4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B26" s="3" t="s">
        <v>20</v>
      </c>
    </row>
    <row r="27" customFormat="false" ht="28.35" hidden="false" customHeight="false" outlineLevel="0" collapsed="false">
      <c r="B27" s="4" t="s">
        <v>21</v>
      </c>
    </row>
    <row r="28" customFormat="false" ht="15" hidden="false" customHeight="false" outlineLevel="0" collapsed="false">
      <c r="B28" s="4" t="s">
        <v>22</v>
      </c>
    </row>
    <row r="29" customFormat="false" ht="15" hidden="false" customHeight="false" outlineLevel="0" collapsed="false">
      <c r="B29" s="2"/>
    </row>
    <row r="30" customFormat="false" ht="15" hidden="false" customHeight="false" outlineLevel="0" collapsed="false">
      <c r="B30" s="5" t="s">
        <v>23</v>
      </c>
    </row>
    <row r="31" customFormat="false" ht="28.35" hidden="false" customHeight="false" outlineLevel="0" collapsed="false">
      <c r="B31" s="4" t="s">
        <v>24</v>
      </c>
    </row>
    <row r="32" customFormat="false" ht="15" hidden="false" customHeight="false" outlineLevel="0" collapsed="false">
      <c r="B32" s="2" t="s">
        <v>25</v>
      </c>
    </row>
    <row r="33" customFormat="false" ht="15" hidden="false" customHeight="false" outlineLevel="0" collapsed="false">
      <c r="B33" s="2" t="s">
        <v>26</v>
      </c>
    </row>
    <row r="34" customFormat="false" ht="15" hidden="false" customHeight="false" outlineLevel="0" collapsed="false">
      <c r="B34" s="2"/>
    </row>
    <row r="35" customFormat="false" ht="15" hidden="false" customHeight="false" outlineLevel="0" collapsed="false">
      <c r="B35" s="3" t="s">
        <v>27</v>
      </c>
    </row>
    <row r="36" customFormat="false" ht="15" hidden="false" customHeight="false" outlineLevel="0" collapsed="false">
      <c r="B36" s="2" t="s">
        <v>28</v>
      </c>
    </row>
    <row r="37" customFormat="false" ht="15" hidden="false" customHeight="false" outlineLevel="0" collapsed="false">
      <c r="B37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16" min="6" style="0" width="8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1"/>
    <col collapsed="false" customWidth="true" hidden="false" outlineLevel="0" max="21" min="21" style="0" width="10"/>
    <col collapsed="false" customWidth="true" hidden="false" outlineLevel="0" max="22" min="22" style="0" width="9"/>
    <col collapsed="false" customWidth="true" hidden="false" outlineLevel="0" max="24" min="23" style="0" width="11"/>
    <col collapsed="false" customWidth="true" hidden="false" outlineLevel="0" max="25" min="25" style="0" width="9"/>
    <col collapsed="false" customWidth="true" hidden="false" outlineLevel="0" max="26" min="26" style="0" width="38"/>
    <col collapsed="false" customWidth="true" hidden="false" outlineLevel="0" max="27" min="27" style="0" width="10"/>
    <col collapsed="false" customWidth="true" hidden="false" outlineLevel="0" max="31" min="28" style="0" width="9"/>
  </cols>
  <sheetData>
    <row r="1" customFormat="false" ht="15" hidden="false" customHeight="false" outlineLevel="0" collapsed="false">
      <c r="A1" s="6" t="s">
        <v>30</v>
      </c>
    </row>
    <row r="2" customFormat="false" ht="15" hidden="false" customHeight="false" outlineLevel="0" collapsed="false">
      <c r="A2" s="7" t="s">
        <v>31</v>
      </c>
      <c r="C2" s="8" t="n">
        <v>1</v>
      </c>
      <c r="D2" s="9" t="s">
        <v>32</v>
      </c>
    </row>
    <row r="3" customFormat="false" ht="15" hidden="false" customHeight="false" outlineLevel="0" collapsed="false">
      <c r="A3" s="7" t="s">
        <v>33</v>
      </c>
      <c r="C3" s="8" t="n">
        <v>2</v>
      </c>
      <c r="D3" s="9" t="s">
        <v>34</v>
      </c>
    </row>
    <row r="5" customFormat="false" ht="31.5" hidden="false" customHeight="true" outlineLevel="0" collapsed="false">
      <c r="A5" s="10" t="s">
        <v>35</v>
      </c>
      <c r="B5" s="10" t="s">
        <v>36</v>
      </c>
      <c r="C5" s="10" t="s">
        <v>37</v>
      </c>
      <c r="D5" s="10" t="s">
        <v>38</v>
      </c>
      <c r="E5" s="10" t="s">
        <v>39</v>
      </c>
      <c r="F5" s="10" t="s">
        <v>40</v>
      </c>
      <c r="G5" s="10" t="s">
        <v>41</v>
      </c>
      <c r="H5" s="10" t="s">
        <v>42</v>
      </c>
      <c r="I5" s="10" t="s">
        <v>43</v>
      </c>
      <c r="J5" s="10" t="s">
        <v>44</v>
      </c>
      <c r="K5" s="10" t="s">
        <v>45</v>
      </c>
      <c r="L5" s="10" t="s">
        <v>46</v>
      </c>
      <c r="M5" s="10" t="s">
        <v>47</v>
      </c>
      <c r="N5" s="10" t="s">
        <v>48</v>
      </c>
      <c r="O5" s="10" t="s">
        <v>49</v>
      </c>
      <c r="P5" s="10" t="s">
        <v>50</v>
      </c>
      <c r="Q5" s="10" t="s">
        <v>51</v>
      </c>
      <c r="R5" s="11" t="s">
        <v>52</v>
      </c>
      <c r="S5" s="11" t="s">
        <v>53</v>
      </c>
      <c r="T5" s="10" t="s">
        <v>54</v>
      </c>
      <c r="U5" s="11" t="s">
        <v>55</v>
      </c>
      <c r="V5" s="10" t="s">
        <v>56</v>
      </c>
      <c r="W5" s="10" t="s">
        <v>57</v>
      </c>
      <c r="X5" s="10" t="s">
        <v>58</v>
      </c>
      <c r="Y5" s="10" t="s">
        <v>59</v>
      </c>
      <c r="Z5" s="10" t="s">
        <v>60</v>
      </c>
      <c r="AA5" s="10" t="s">
        <v>61</v>
      </c>
      <c r="AB5" s="10" t="s">
        <v>62</v>
      </c>
      <c r="AC5" s="10" t="s">
        <v>63</v>
      </c>
      <c r="AD5" s="10" t="s">
        <v>64</v>
      </c>
      <c r="AE5" s="10" t="s">
        <v>65</v>
      </c>
    </row>
    <row r="6" customFormat="false" ht="15" hidden="false" customHeight="false" outlineLevel="0" collapsed="false">
      <c r="A6" s="8" t="s">
        <v>66</v>
      </c>
      <c r="B6" s="12" t="s">
        <v>67</v>
      </c>
      <c r="C6" s="8" t="s">
        <v>68</v>
      </c>
      <c r="D6" s="13" t="n">
        <v>0.85</v>
      </c>
      <c r="E6" s="13" t="n">
        <v>0.01</v>
      </c>
      <c r="F6" s="13" t="n">
        <v>0.852</v>
      </c>
      <c r="G6" s="13" t="n">
        <v>0.848</v>
      </c>
      <c r="H6" s="13" t="n">
        <v>0.855</v>
      </c>
      <c r="I6" s="13" t="n">
        <v>0.85</v>
      </c>
      <c r="J6" s="13" t="n">
        <v>0.847</v>
      </c>
      <c r="K6" s="13" t="n">
        <v>0.853</v>
      </c>
      <c r="L6" s="13" t="n">
        <v>0.849</v>
      </c>
      <c r="M6" s="13" t="n">
        <v>0.851</v>
      </c>
      <c r="N6" s="13" t="n">
        <v>0.854</v>
      </c>
      <c r="O6" s="13" t="n">
        <v>0.846</v>
      </c>
      <c r="P6" s="14" t="n">
        <f aca="false">COUNT(F6:O6)</f>
        <v>10</v>
      </c>
      <c r="Q6" s="15" t="n">
        <f aca="false">IF(P6&lt;2,"",AVERAGE(F6:O6))</f>
        <v>0.8505</v>
      </c>
      <c r="R6" s="15" t="n">
        <f aca="false">IF(P6&lt;2,"",STDEV(F6:O6))</f>
        <v>0.00302765035409749</v>
      </c>
      <c r="S6" s="16" t="n">
        <f aca="false">IF(P6&lt;2,"",IF(Q6=0,"",R6/Q6*100))</f>
        <v>0.355984756507642</v>
      </c>
      <c r="T6" s="15" t="n">
        <f aca="false">IF(AB6="","",IF(AB6=AC6,AD6,AD6+(AE6-AD6)*(Q6-AB6)/(AC6-AB6)))</f>
        <v>0.010206</v>
      </c>
      <c r="U6" s="16" t="n">
        <f aca="false">IF(OR(T6="",R6=""),"",IF(T6=0,"",R6/T6))</f>
        <v>0.296653963756368</v>
      </c>
      <c r="V6" s="17" t="str">
        <f aca="false">IF(Q6="","",IF(T6="","기준없음",IF(R6&lt;=T6*$C$2,"합격","불합격")))</f>
        <v>합격</v>
      </c>
      <c r="W6" s="18" t="n">
        <f aca="false">IF(OR(Q6="",D6=""),"",Q6-D6)</f>
        <v>0.000499999999999945</v>
      </c>
      <c r="X6" s="15" t="n">
        <f aca="false">IF(W6="","",IF(E6&lt;&gt;"",E6,IF(T6="","",T6*$C$3)))</f>
        <v>0.01</v>
      </c>
      <c r="Y6" s="17" t="str">
        <f aca="false">IF(OR(W6="",X6=""),"",IF(ABS(W6)&lt;=X6,"합격","불합격"))</f>
        <v>합격</v>
      </c>
      <c r="Z6" s="19" t="str">
        <f aca="false">IF(OR(AA6="",Q6=""),"",IF(AB6="","기준SD 데이터 없음 ",IF(Q6&lt;_xlfn.MINIFS(기준SD!$C$2:$C$500,기준SD!$E$2:$E$500,AA6),"최저 레벨 미만→최저 레벨 SD 적용 ",IF(Q6&gt;_xlfn.MAXIFS(기준SD!$C$2:$C$500,기준SD!$E$2:$E$500,AA6),"최고 레벨 초과→최고 레벨 SD 적용 ","")))&amp;IF(SUMIFS(원소정보!$E$2:$E$200,원소정보!$F$2:$F$200,AA6)&gt;0,IF(Q6&gt;SUMIFS(원소정보!$E$2:$E$200,원소정보!$F$2:$F$200,AA6),"검량범위 초과 ",""),"")&amp;IF(SUMIFS(원소정보!$D$2:$D$200,원소정보!$F$2:$F$200,AA6)&gt;0,IF(Q6&lt;SUMIFS(원소정보!$D$2:$D$200,원소정보!$F$2:$F$200,AA6)/10000,"검출한계 미만",""),""))</f>
        <v/>
      </c>
      <c r="AA6" s="19" t="str">
        <f aca="false">IF(OR(A6="",C6=""),"",A6&amp;"|"&amp;C6)</f>
        <v>Fe|Mn</v>
      </c>
      <c r="AB6" s="20" t="n">
        <f aca="false">IF(OR(AA6="",Q6=""),"",IF(COUNTIF(기준SD!$E$2:$E$500,AA6)=0,"",IF(COUNTIFS(기준SD!$E$2:$E$500,AA6,기준SD!$C$2:$C$500,"&lt;="&amp;Q6)=0,_xlfn.MINIFS(기준SD!$C$2:$C$500,기준SD!$E$2:$E$500,AA6),_xlfn.MAXIFS(기준SD!$C$2:$C$500,기준SD!$E$2:$E$500,AA6,기준SD!$C$2:$C$500,"&lt;="&amp;Q6))))</f>
        <v>0.5</v>
      </c>
      <c r="AC6" s="20" t="n">
        <f aca="false">IF(AB6="","",IF(COUNTIFS(기준SD!$E$2:$E$500,AA6,기준SD!$C$2:$C$500,"&gt;="&amp;Q6)=0,_xlfn.MAXIFS(기준SD!$C$2:$C$500,기준SD!$E$2:$E$500,AA6),_xlfn.MINIFS(기준SD!$C$2:$C$500,기준SD!$E$2:$E$500,AA6,기준SD!$C$2:$C$500,"&gt;="&amp;Q6)))</f>
        <v>1</v>
      </c>
      <c r="AD6" s="15" t="n">
        <f aca="false">IF(AB6="","",SUMIFS(기준SD!$D$2:$D$500,기준SD!$E$2:$E$500,AA6,기준SD!$C$2:$C$500,AB6))</f>
        <v>0.006</v>
      </c>
      <c r="AE6" s="15" t="n">
        <f aca="false">IF(AC6="","",SUMIFS(기준SD!$D$2:$D$500,기준SD!$E$2:$E$500,AA6,기준SD!$C$2:$C$500,AC6))</f>
        <v>0.012</v>
      </c>
    </row>
    <row r="7" customFormat="false" ht="15" hidden="false" customHeight="false" outlineLevel="0" collapsed="false">
      <c r="A7" s="8" t="s">
        <v>66</v>
      </c>
      <c r="B7" s="8"/>
      <c r="C7" s="8" t="s">
        <v>69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4" t="n">
        <f aca="false">COUNT(F7:O7)</f>
        <v>0</v>
      </c>
      <c r="Q7" s="15" t="str">
        <f aca="false">IF(P7&lt;2,"",AVERAGE(F7:O7))</f>
        <v/>
      </c>
      <c r="R7" s="15" t="str">
        <f aca="false">IF(P7&lt;2,"",STDEV(F7:O7))</f>
        <v/>
      </c>
      <c r="S7" s="16" t="str">
        <f aca="false">IF(P7&lt;2,"",IF(Q7=0,"",R7/Q7*100))</f>
        <v/>
      </c>
      <c r="T7" s="15" t="str">
        <f aca="false">IF(AB7="","",IF(AB7=AC7,AD7,AD7+(AE7-AD7)*(Q7-AB7)/(AC7-AB7)))</f>
        <v/>
      </c>
      <c r="U7" s="16" t="str">
        <f aca="false">IF(OR(T7="",R7=""),"",IF(T7=0,"",R7/T7))</f>
        <v/>
      </c>
      <c r="V7" s="17" t="str">
        <f aca="false">IF(Q7="","",IF(T7="","기준없음",IF(R7&lt;=T7*$C$2,"합격","불합격")))</f>
        <v/>
      </c>
      <c r="W7" s="18" t="str">
        <f aca="false">IF(OR(Q7="",D7=""),"",Q7-D7)</f>
        <v/>
      </c>
      <c r="X7" s="15" t="str">
        <f aca="false">IF(W7="","",IF(E7&lt;&gt;"",E7,IF(T7="","",T7*$C$3)))</f>
        <v/>
      </c>
      <c r="Y7" s="17" t="str">
        <f aca="false">IF(OR(W7="",X7=""),"",IF(ABS(W7)&lt;=X7,"합격","불합격"))</f>
        <v/>
      </c>
      <c r="Z7" s="19" t="str">
        <f aca="false">IF(OR(AA7="",Q7=""),"",IF(AB7="","기준SD 데이터 없음 ",IF(Q7&lt;_xlfn.MINIFS(기준SD!$C$2:$C$500,기준SD!$E$2:$E$500,AA7),"최저 레벨 미만→최저 레벨 SD 적용 ",IF(Q7&gt;_xlfn.MAXIFS(기준SD!$C$2:$C$500,기준SD!$E$2:$E$500,AA7),"최고 레벨 초과→최고 레벨 SD 적용 ","")))&amp;IF(SUMIFS(원소정보!$E$2:$E$200,원소정보!$F$2:$F$200,AA7)&gt;0,IF(Q7&gt;SUMIFS(원소정보!$E$2:$E$200,원소정보!$F$2:$F$200,AA7),"검량범위 초과 ",""),"")&amp;IF(SUMIFS(원소정보!$D$2:$D$200,원소정보!$F$2:$F$200,AA7)&gt;0,IF(Q7&lt;SUMIFS(원소정보!$D$2:$D$200,원소정보!$F$2:$F$200,AA7)/10000,"검출한계 미만",""),""))</f>
        <v/>
      </c>
      <c r="AA7" s="19" t="str">
        <f aca="false">IF(OR(A7="",C7=""),"",A7&amp;"|"&amp;C7)</f>
        <v>Fe|Al</v>
      </c>
      <c r="AB7" s="20" t="str">
        <f aca="false">IF(OR(AA7="",Q7=""),"",IF(COUNTIF(기준SD!$E$2:$E$500,AA7)=0,"",IF(COUNTIFS(기준SD!$E$2:$E$500,AA7,기준SD!$C$2:$C$500,"&lt;="&amp;Q7)=0,_xlfn.MINIFS(기준SD!$C$2:$C$500,기준SD!$E$2:$E$500,AA7),_xlfn.MAXIFS(기준SD!$C$2:$C$500,기준SD!$E$2:$E$500,AA7,기준SD!$C$2:$C$500,"&lt;="&amp;Q7))))</f>
        <v/>
      </c>
      <c r="AC7" s="20" t="str">
        <f aca="false">IF(AB7="","",IF(COUNTIFS(기준SD!$E$2:$E$500,AA7,기준SD!$C$2:$C$500,"&gt;="&amp;Q7)=0,_xlfn.MAXIFS(기준SD!$C$2:$C$500,기준SD!$E$2:$E$500,AA7),_xlfn.MINIFS(기준SD!$C$2:$C$500,기준SD!$E$2:$E$500,AA7,기준SD!$C$2:$C$500,"&gt;="&amp;Q7)))</f>
        <v/>
      </c>
      <c r="AD7" s="15" t="str">
        <f aca="false">IF(AB7="","",SUMIFS(기준SD!$D$2:$D$500,기준SD!$E$2:$E$500,AA7,기준SD!$C$2:$C$500,AB7))</f>
        <v/>
      </c>
      <c r="AE7" s="15" t="str">
        <f aca="false">IF(AC7="","",SUMIFS(기준SD!$D$2:$D$500,기준SD!$E$2:$E$500,AA7,기준SD!$C$2:$C$500,AC7))</f>
        <v/>
      </c>
    </row>
    <row r="8" customFormat="false" ht="15" hidden="false" customHeight="false" outlineLevel="0" collapsed="false">
      <c r="A8" s="8" t="s">
        <v>66</v>
      </c>
      <c r="B8" s="8"/>
      <c r="C8" s="8" t="s">
        <v>70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 t="n">
        <f aca="false">COUNT(F8:O8)</f>
        <v>0</v>
      </c>
      <c r="Q8" s="15" t="str">
        <f aca="false">IF(P8&lt;2,"",AVERAGE(F8:O8))</f>
        <v/>
      </c>
      <c r="R8" s="15" t="str">
        <f aca="false">IF(P8&lt;2,"",STDEV(F8:O8))</f>
        <v/>
      </c>
      <c r="S8" s="16" t="str">
        <f aca="false">IF(P8&lt;2,"",IF(Q8=0,"",R8/Q8*100))</f>
        <v/>
      </c>
      <c r="T8" s="15" t="str">
        <f aca="false">IF(AB8="","",IF(AB8=AC8,AD8,AD8+(AE8-AD8)*(Q8-AB8)/(AC8-AB8)))</f>
        <v/>
      </c>
      <c r="U8" s="16" t="str">
        <f aca="false">IF(OR(T8="",R8=""),"",IF(T8=0,"",R8/T8))</f>
        <v/>
      </c>
      <c r="V8" s="17" t="str">
        <f aca="false">IF(Q8="","",IF(T8="","기준없음",IF(R8&lt;=T8*$C$2,"합격","불합격")))</f>
        <v/>
      </c>
      <c r="W8" s="18" t="str">
        <f aca="false">IF(OR(Q8="",D8=""),"",Q8-D8)</f>
        <v/>
      </c>
      <c r="X8" s="15" t="str">
        <f aca="false">IF(W8="","",IF(E8&lt;&gt;"",E8,IF(T8="","",T8*$C$3)))</f>
        <v/>
      </c>
      <c r="Y8" s="17" t="str">
        <f aca="false">IF(OR(W8="",X8=""),"",IF(ABS(W8)&lt;=X8,"합격","불합격"))</f>
        <v/>
      </c>
      <c r="Z8" s="19" t="str">
        <f aca="false">IF(OR(AA8="",Q8=""),"",IF(AB8="","기준SD 데이터 없음 ",IF(Q8&lt;_xlfn.MINIFS(기준SD!$C$2:$C$500,기준SD!$E$2:$E$500,AA8),"최저 레벨 미만→최저 레벨 SD 적용 ",IF(Q8&gt;_xlfn.MAXIFS(기준SD!$C$2:$C$500,기준SD!$E$2:$E$500,AA8),"최고 레벨 초과→최고 레벨 SD 적용 ","")))&amp;IF(SUMIFS(원소정보!$E$2:$E$200,원소정보!$F$2:$F$200,AA8)&gt;0,IF(Q8&gt;SUMIFS(원소정보!$E$2:$E$200,원소정보!$F$2:$F$200,AA8),"검량범위 초과 ",""),"")&amp;IF(SUMIFS(원소정보!$D$2:$D$200,원소정보!$F$2:$F$200,AA8)&gt;0,IF(Q8&lt;SUMIFS(원소정보!$D$2:$D$200,원소정보!$F$2:$F$200,AA8)/10000,"검출한계 미만",""),""))</f>
        <v/>
      </c>
      <c r="AA8" s="19" t="str">
        <f aca="false">IF(OR(A8="",C8=""),"",A8&amp;"|"&amp;C8)</f>
        <v>Fe|As</v>
      </c>
      <c r="AB8" s="20" t="str">
        <f aca="false">IF(OR(AA8="",Q8=""),"",IF(COUNTIF(기준SD!$E$2:$E$500,AA8)=0,"",IF(COUNTIFS(기준SD!$E$2:$E$500,AA8,기준SD!$C$2:$C$500,"&lt;="&amp;Q8)=0,_xlfn.MINIFS(기준SD!$C$2:$C$500,기준SD!$E$2:$E$500,AA8),_xlfn.MAXIFS(기준SD!$C$2:$C$500,기준SD!$E$2:$E$500,AA8,기준SD!$C$2:$C$500,"&lt;="&amp;Q8))))</f>
        <v/>
      </c>
      <c r="AC8" s="20" t="str">
        <f aca="false">IF(AB8="","",IF(COUNTIFS(기준SD!$E$2:$E$500,AA8,기준SD!$C$2:$C$500,"&gt;="&amp;Q8)=0,_xlfn.MAXIFS(기준SD!$C$2:$C$500,기준SD!$E$2:$E$500,AA8),_xlfn.MINIFS(기준SD!$C$2:$C$500,기준SD!$E$2:$E$500,AA8,기준SD!$C$2:$C$500,"&gt;="&amp;Q8)))</f>
        <v/>
      </c>
      <c r="AD8" s="15" t="str">
        <f aca="false">IF(AB8="","",SUMIFS(기준SD!$D$2:$D$500,기준SD!$E$2:$E$500,AA8,기준SD!$C$2:$C$500,AB8))</f>
        <v/>
      </c>
      <c r="AE8" s="15" t="str">
        <f aca="false">IF(AC8="","",SUMIFS(기준SD!$D$2:$D$500,기준SD!$E$2:$E$500,AA8,기준SD!$C$2:$C$500,AC8))</f>
        <v/>
      </c>
    </row>
    <row r="9" customFormat="false" ht="15" hidden="false" customHeight="false" outlineLevel="0" collapsed="false">
      <c r="A9" s="8" t="s">
        <v>66</v>
      </c>
      <c r="B9" s="8"/>
      <c r="C9" s="8" t="s">
        <v>71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4" t="n">
        <f aca="false">COUNT(F9:O9)</f>
        <v>0</v>
      </c>
      <c r="Q9" s="15" t="str">
        <f aca="false">IF(P9&lt;2,"",AVERAGE(F9:O9))</f>
        <v/>
      </c>
      <c r="R9" s="15" t="str">
        <f aca="false">IF(P9&lt;2,"",STDEV(F9:O9))</f>
        <v/>
      </c>
      <c r="S9" s="16" t="str">
        <f aca="false">IF(P9&lt;2,"",IF(Q9=0,"",R9/Q9*100))</f>
        <v/>
      </c>
      <c r="T9" s="15" t="str">
        <f aca="false">IF(AB9="","",IF(AB9=AC9,AD9,AD9+(AE9-AD9)*(Q9-AB9)/(AC9-AB9)))</f>
        <v/>
      </c>
      <c r="U9" s="16" t="str">
        <f aca="false">IF(OR(T9="",R9=""),"",IF(T9=0,"",R9/T9))</f>
        <v/>
      </c>
      <c r="V9" s="17" t="str">
        <f aca="false">IF(Q9="","",IF(T9="","기준없음",IF(R9&lt;=T9*$C$2,"합격","불합격")))</f>
        <v/>
      </c>
      <c r="W9" s="18" t="str">
        <f aca="false">IF(OR(Q9="",D9=""),"",Q9-D9)</f>
        <v/>
      </c>
      <c r="X9" s="15" t="str">
        <f aca="false">IF(W9="","",IF(E9&lt;&gt;"",E9,IF(T9="","",T9*$C$3)))</f>
        <v/>
      </c>
      <c r="Y9" s="17" t="str">
        <f aca="false">IF(OR(W9="",X9=""),"",IF(ABS(W9)&lt;=X9,"합격","불합격"))</f>
        <v/>
      </c>
      <c r="Z9" s="19" t="str">
        <f aca="false">IF(OR(AA9="",Q9=""),"",IF(AB9="","기준SD 데이터 없음 ",IF(Q9&lt;_xlfn.MINIFS(기준SD!$C$2:$C$500,기준SD!$E$2:$E$500,AA9),"최저 레벨 미만→최저 레벨 SD 적용 ",IF(Q9&gt;_xlfn.MAXIFS(기준SD!$C$2:$C$500,기준SD!$E$2:$E$500,AA9),"최고 레벨 초과→최고 레벨 SD 적용 ","")))&amp;IF(SUMIFS(원소정보!$E$2:$E$200,원소정보!$F$2:$F$200,AA9)&gt;0,IF(Q9&gt;SUMIFS(원소정보!$E$2:$E$200,원소정보!$F$2:$F$200,AA9),"검량범위 초과 ",""),"")&amp;IF(SUMIFS(원소정보!$D$2:$D$200,원소정보!$F$2:$F$200,AA9)&gt;0,IF(Q9&lt;SUMIFS(원소정보!$D$2:$D$200,원소정보!$F$2:$F$200,AA9)/10000,"검출한계 미만",""),""))</f>
        <v/>
      </c>
      <c r="AA9" s="19" t="str">
        <f aca="false">IF(OR(A9="",C9=""),"",A9&amp;"|"&amp;C9)</f>
        <v>Fe|B</v>
      </c>
      <c r="AB9" s="20" t="str">
        <f aca="false">IF(OR(AA9="",Q9=""),"",IF(COUNTIF(기준SD!$E$2:$E$500,AA9)=0,"",IF(COUNTIFS(기준SD!$E$2:$E$500,AA9,기준SD!$C$2:$C$500,"&lt;="&amp;Q9)=0,_xlfn.MINIFS(기준SD!$C$2:$C$500,기준SD!$E$2:$E$500,AA9),_xlfn.MAXIFS(기준SD!$C$2:$C$500,기준SD!$E$2:$E$500,AA9,기준SD!$C$2:$C$500,"&lt;="&amp;Q9))))</f>
        <v/>
      </c>
      <c r="AC9" s="20" t="str">
        <f aca="false">IF(AB9="","",IF(COUNTIFS(기준SD!$E$2:$E$500,AA9,기준SD!$C$2:$C$500,"&gt;="&amp;Q9)=0,_xlfn.MAXIFS(기준SD!$C$2:$C$500,기준SD!$E$2:$E$500,AA9),_xlfn.MINIFS(기준SD!$C$2:$C$500,기준SD!$E$2:$E$500,AA9,기준SD!$C$2:$C$500,"&gt;="&amp;Q9)))</f>
        <v/>
      </c>
      <c r="AD9" s="15" t="str">
        <f aca="false">IF(AB9="","",SUMIFS(기준SD!$D$2:$D$500,기준SD!$E$2:$E$500,AA9,기준SD!$C$2:$C$500,AB9))</f>
        <v/>
      </c>
      <c r="AE9" s="15" t="str">
        <f aca="false">IF(AC9="","",SUMIFS(기준SD!$D$2:$D$500,기준SD!$E$2:$E$500,AA9,기준SD!$C$2:$C$500,AC9))</f>
        <v/>
      </c>
    </row>
    <row r="10" customFormat="false" ht="15" hidden="false" customHeight="false" outlineLevel="0" collapsed="false">
      <c r="A10" s="8" t="s">
        <v>66</v>
      </c>
      <c r="B10" s="8"/>
      <c r="C10" s="8" t="s">
        <v>72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4" t="n">
        <f aca="false">COUNT(F10:O10)</f>
        <v>0</v>
      </c>
      <c r="Q10" s="15" t="str">
        <f aca="false">IF(P10&lt;2,"",AVERAGE(F10:O10))</f>
        <v/>
      </c>
      <c r="R10" s="15" t="str">
        <f aca="false">IF(P10&lt;2,"",STDEV(F10:O10))</f>
        <v/>
      </c>
      <c r="S10" s="16" t="str">
        <f aca="false">IF(P10&lt;2,"",IF(Q10=0,"",R10/Q10*100))</f>
        <v/>
      </c>
      <c r="T10" s="15" t="str">
        <f aca="false">IF(AB10="","",IF(AB10=AC10,AD10,AD10+(AE10-AD10)*(Q10-AB10)/(AC10-AB10)))</f>
        <v/>
      </c>
      <c r="U10" s="16" t="str">
        <f aca="false">IF(OR(T10="",R10=""),"",IF(T10=0,"",R10/T10))</f>
        <v/>
      </c>
      <c r="V10" s="17" t="str">
        <f aca="false">IF(Q10="","",IF(T10="","기준없음",IF(R10&lt;=T10*$C$2,"합격","불합격")))</f>
        <v/>
      </c>
      <c r="W10" s="18" t="str">
        <f aca="false">IF(OR(Q10="",D10=""),"",Q10-D10)</f>
        <v/>
      </c>
      <c r="X10" s="15" t="str">
        <f aca="false">IF(W10="","",IF(E10&lt;&gt;"",E10,IF(T10="","",T10*$C$3)))</f>
        <v/>
      </c>
      <c r="Y10" s="17" t="str">
        <f aca="false">IF(OR(W10="",X10=""),"",IF(ABS(W10)&lt;=X10,"합격","불합격"))</f>
        <v/>
      </c>
      <c r="Z10" s="19" t="str">
        <f aca="false">IF(OR(AA10="",Q10=""),"",IF(AB10="","기준SD 데이터 없음 ",IF(Q10&lt;_xlfn.MINIFS(기준SD!$C$2:$C$500,기준SD!$E$2:$E$500,AA10),"최저 레벨 미만→최저 레벨 SD 적용 ",IF(Q10&gt;_xlfn.MAXIFS(기준SD!$C$2:$C$500,기준SD!$E$2:$E$500,AA10),"최고 레벨 초과→최고 레벨 SD 적용 ","")))&amp;IF(SUMIFS(원소정보!$E$2:$E$200,원소정보!$F$2:$F$200,AA10)&gt;0,IF(Q10&gt;SUMIFS(원소정보!$E$2:$E$200,원소정보!$F$2:$F$200,AA10),"검량범위 초과 ",""),"")&amp;IF(SUMIFS(원소정보!$D$2:$D$200,원소정보!$F$2:$F$200,AA10)&gt;0,IF(Q10&lt;SUMIFS(원소정보!$D$2:$D$200,원소정보!$F$2:$F$200,AA10)/10000,"검출한계 미만",""),""))</f>
        <v/>
      </c>
      <c r="AA10" s="19" t="str">
        <f aca="false">IF(OR(A10="",C10=""),"",A10&amp;"|"&amp;C10)</f>
        <v>Fe|C</v>
      </c>
      <c r="AB10" s="20" t="str">
        <f aca="false">IF(OR(AA10="",Q10=""),"",IF(COUNTIF(기준SD!$E$2:$E$500,AA10)=0,"",IF(COUNTIFS(기준SD!$E$2:$E$500,AA10,기준SD!$C$2:$C$500,"&lt;="&amp;Q10)=0,_xlfn.MINIFS(기준SD!$C$2:$C$500,기준SD!$E$2:$E$500,AA10),_xlfn.MAXIFS(기준SD!$C$2:$C$500,기준SD!$E$2:$E$500,AA10,기준SD!$C$2:$C$500,"&lt;="&amp;Q10))))</f>
        <v/>
      </c>
      <c r="AC10" s="20" t="str">
        <f aca="false">IF(AB10="","",IF(COUNTIFS(기준SD!$E$2:$E$500,AA10,기준SD!$C$2:$C$500,"&gt;="&amp;Q10)=0,_xlfn.MAXIFS(기준SD!$C$2:$C$500,기준SD!$E$2:$E$500,AA10),_xlfn.MINIFS(기준SD!$C$2:$C$500,기준SD!$E$2:$E$500,AA10,기준SD!$C$2:$C$500,"&gt;="&amp;Q10)))</f>
        <v/>
      </c>
      <c r="AD10" s="15" t="str">
        <f aca="false">IF(AB10="","",SUMIFS(기준SD!$D$2:$D$500,기준SD!$E$2:$E$500,AA10,기준SD!$C$2:$C$500,AB10))</f>
        <v/>
      </c>
      <c r="AE10" s="15" t="str">
        <f aca="false">IF(AC10="","",SUMIFS(기준SD!$D$2:$D$500,기준SD!$E$2:$E$500,AA10,기준SD!$C$2:$C$500,AC10))</f>
        <v/>
      </c>
    </row>
    <row r="11" customFormat="false" ht="15" hidden="false" customHeight="false" outlineLevel="0" collapsed="false">
      <c r="A11" s="8" t="s">
        <v>66</v>
      </c>
      <c r="B11" s="8"/>
      <c r="C11" s="8" t="s">
        <v>73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4" t="n">
        <f aca="false">COUNT(F11:O11)</f>
        <v>0</v>
      </c>
      <c r="Q11" s="15" t="str">
        <f aca="false">IF(P11&lt;2,"",AVERAGE(F11:O11))</f>
        <v/>
      </c>
      <c r="R11" s="15" t="str">
        <f aca="false">IF(P11&lt;2,"",STDEV(F11:O11))</f>
        <v/>
      </c>
      <c r="S11" s="16" t="str">
        <f aca="false">IF(P11&lt;2,"",IF(Q11=0,"",R11/Q11*100))</f>
        <v/>
      </c>
      <c r="T11" s="15" t="str">
        <f aca="false">IF(AB11="","",IF(AB11=AC11,AD11,AD11+(AE11-AD11)*(Q11-AB11)/(AC11-AB11)))</f>
        <v/>
      </c>
      <c r="U11" s="16" t="str">
        <f aca="false">IF(OR(T11="",R11=""),"",IF(T11=0,"",R11/T11))</f>
        <v/>
      </c>
      <c r="V11" s="17" t="str">
        <f aca="false">IF(Q11="","",IF(T11="","기준없음",IF(R11&lt;=T11*$C$2,"합격","불합격")))</f>
        <v/>
      </c>
      <c r="W11" s="18" t="str">
        <f aca="false">IF(OR(Q11="",D11=""),"",Q11-D11)</f>
        <v/>
      </c>
      <c r="X11" s="15" t="str">
        <f aca="false">IF(W11="","",IF(E11&lt;&gt;"",E11,IF(T11="","",T11*$C$3)))</f>
        <v/>
      </c>
      <c r="Y11" s="17" t="str">
        <f aca="false">IF(OR(W11="",X11=""),"",IF(ABS(W11)&lt;=X11,"합격","불합격"))</f>
        <v/>
      </c>
      <c r="Z11" s="19" t="str">
        <f aca="false">IF(OR(AA11="",Q11=""),"",IF(AB11="","기준SD 데이터 없음 ",IF(Q11&lt;_xlfn.MINIFS(기준SD!$C$2:$C$500,기준SD!$E$2:$E$500,AA11),"최저 레벨 미만→최저 레벨 SD 적용 ",IF(Q11&gt;_xlfn.MAXIFS(기준SD!$C$2:$C$500,기준SD!$E$2:$E$500,AA11),"최고 레벨 초과→최고 레벨 SD 적용 ","")))&amp;IF(SUMIFS(원소정보!$E$2:$E$200,원소정보!$F$2:$F$200,AA11)&gt;0,IF(Q11&gt;SUMIFS(원소정보!$E$2:$E$200,원소정보!$F$2:$F$200,AA11),"검량범위 초과 ",""),"")&amp;IF(SUMIFS(원소정보!$D$2:$D$200,원소정보!$F$2:$F$200,AA11)&gt;0,IF(Q11&lt;SUMIFS(원소정보!$D$2:$D$200,원소정보!$F$2:$F$200,AA11)/10000,"검출한계 미만",""),""))</f>
        <v/>
      </c>
      <c r="AA11" s="19" t="str">
        <f aca="false">IF(OR(A11="",C11=""),"",A11&amp;"|"&amp;C11)</f>
        <v>Fe|C(air)</v>
      </c>
      <c r="AB11" s="20" t="str">
        <f aca="false">IF(OR(AA11="",Q11=""),"",IF(COUNTIF(기준SD!$E$2:$E$500,AA11)=0,"",IF(COUNTIFS(기준SD!$E$2:$E$500,AA11,기준SD!$C$2:$C$500,"&lt;="&amp;Q11)=0,_xlfn.MINIFS(기준SD!$C$2:$C$500,기준SD!$E$2:$E$500,AA11),_xlfn.MAXIFS(기준SD!$C$2:$C$500,기준SD!$E$2:$E$500,AA11,기준SD!$C$2:$C$500,"&lt;="&amp;Q11))))</f>
        <v/>
      </c>
      <c r="AC11" s="20" t="str">
        <f aca="false">IF(AB11="","",IF(COUNTIFS(기준SD!$E$2:$E$500,AA11,기준SD!$C$2:$C$500,"&gt;="&amp;Q11)=0,_xlfn.MAXIFS(기준SD!$C$2:$C$500,기준SD!$E$2:$E$500,AA11),_xlfn.MINIFS(기준SD!$C$2:$C$500,기준SD!$E$2:$E$500,AA11,기준SD!$C$2:$C$500,"&gt;="&amp;Q11)))</f>
        <v/>
      </c>
      <c r="AD11" s="15" t="str">
        <f aca="false">IF(AB11="","",SUMIFS(기준SD!$D$2:$D$500,기준SD!$E$2:$E$500,AA11,기준SD!$C$2:$C$500,AB11))</f>
        <v/>
      </c>
      <c r="AE11" s="15" t="str">
        <f aca="false">IF(AC11="","",SUMIFS(기준SD!$D$2:$D$500,기준SD!$E$2:$E$500,AA11,기준SD!$C$2:$C$500,AC11))</f>
        <v/>
      </c>
    </row>
    <row r="12" customFormat="false" ht="15" hidden="false" customHeight="false" outlineLevel="0" collapsed="false">
      <c r="A12" s="8" t="s">
        <v>66</v>
      </c>
      <c r="B12" s="8"/>
      <c r="C12" s="8" t="s">
        <v>74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4" t="n">
        <f aca="false">COUNT(F12:O12)</f>
        <v>0</v>
      </c>
      <c r="Q12" s="15" t="str">
        <f aca="false">IF(P12&lt;2,"",AVERAGE(F12:O12))</f>
        <v/>
      </c>
      <c r="R12" s="15" t="str">
        <f aca="false">IF(P12&lt;2,"",STDEV(F12:O12))</f>
        <v/>
      </c>
      <c r="S12" s="16" t="str">
        <f aca="false">IF(P12&lt;2,"",IF(Q12=0,"",R12/Q12*100))</f>
        <v/>
      </c>
      <c r="T12" s="15" t="str">
        <f aca="false">IF(AB12="","",IF(AB12=AC12,AD12,AD12+(AE12-AD12)*(Q12-AB12)/(AC12-AB12)))</f>
        <v/>
      </c>
      <c r="U12" s="16" t="str">
        <f aca="false">IF(OR(T12="",R12=""),"",IF(T12=0,"",R12/T12))</f>
        <v/>
      </c>
      <c r="V12" s="17" t="str">
        <f aca="false">IF(Q12="","",IF(T12="","기준없음",IF(R12&lt;=T12*$C$2,"합격","불합격")))</f>
        <v/>
      </c>
      <c r="W12" s="18" t="str">
        <f aca="false">IF(OR(Q12="",D12=""),"",Q12-D12)</f>
        <v/>
      </c>
      <c r="X12" s="15" t="str">
        <f aca="false">IF(W12="","",IF(E12&lt;&gt;"",E12,IF(T12="","",T12*$C$3)))</f>
        <v/>
      </c>
      <c r="Y12" s="17" t="str">
        <f aca="false">IF(OR(W12="",X12=""),"",IF(ABS(W12)&lt;=X12,"합격","불합격"))</f>
        <v/>
      </c>
      <c r="Z12" s="19" t="str">
        <f aca="false">IF(OR(AA12="",Q12=""),"",IF(AB12="","기준SD 데이터 없음 ",IF(Q12&lt;_xlfn.MINIFS(기준SD!$C$2:$C$500,기준SD!$E$2:$E$500,AA12),"최저 레벨 미만→최저 레벨 SD 적용 ",IF(Q12&gt;_xlfn.MAXIFS(기준SD!$C$2:$C$500,기준SD!$E$2:$E$500,AA12),"최고 레벨 초과→최고 레벨 SD 적용 ","")))&amp;IF(SUMIFS(원소정보!$E$2:$E$200,원소정보!$F$2:$F$200,AA12)&gt;0,IF(Q12&gt;SUMIFS(원소정보!$E$2:$E$200,원소정보!$F$2:$F$200,AA12),"검량범위 초과 ",""),"")&amp;IF(SUMIFS(원소정보!$D$2:$D$200,원소정보!$F$2:$F$200,AA12)&gt;0,IF(Q12&lt;SUMIFS(원소정보!$D$2:$D$200,원소정보!$F$2:$F$200,AA12)/10000,"검출한계 미만",""),""))</f>
        <v/>
      </c>
      <c r="AA12" s="19" t="str">
        <f aca="false">IF(OR(A12="",C12=""),"",A12&amp;"|"&amp;C12)</f>
        <v>Fe|Co</v>
      </c>
      <c r="AB12" s="20" t="str">
        <f aca="false">IF(OR(AA12="",Q12=""),"",IF(COUNTIF(기준SD!$E$2:$E$500,AA12)=0,"",IF(COUNTIFS(기준SD!$E$2:$E$500,AA12,기준SD!$C$2:$C$500,"&lt;="&amp;Q12)=0,_xlfn.MINIFS(기준SD!$C$2:$C$500,기준SD!$E$2:$E$500,AA12),_xlfn.MAXIFS(기준SD!$C$2:$C$500,기준SD!$E$2:$E$500,AA12,기준SD!$C$2:$C$500,"&lt;="&amp;Q12))))</f>
        <v/>
      </c>
      <c r="AC12" s="20" t="str">
        <f aca="false">IF(AB12="","",IF(COUNTIFS(기준SD!$E$2:$E$500,AA12,기준SD!$C$2:$C$500,"&gt;="&amp;Q12)=0,_xlfn.MAXIFS(기준SD!$C$2:$C$500,기준SD!$E$2:$E$500,AA12),_xlfn.MINIFS(기준SD!$C$2:$C$500,기준SD!$E$2:$E$500,AA12,기준SD!$C$2:$C$500,"&gt;="&amp;Q12)))</f>
        <v/>
      </c>
      <c r="AD12" s="15" t="str">
        <f aca="false">IF(AB12="","",SUMIFS(기준SD!$D$2:$D$500,기준SD!$E$2:$E$500,AA12,기준SD!$C$2:$C$500,AB12))</f>
        <v/>
      </c>
      <c r="AE12" s="15" t="str">
        <f aca="false">IF(AC12="","",SUMIFS(기준SD!$D$2:$D$500,기준SD!$E$2:$E$500,AA12,기준SD!$C$2:$C$500,AC12))</f>
        <v/>
      </c>
    </row>
    <row r="13" customFormat="false" ht="15" hidden="false" customHeight="false" outlineLevel="0" collapsed="false">
      <c r="A13" s="8" t="s">
        <v>66</v>
      </c>
      <c r="B13" s="8"/>
      <c r="C13" s="8" t="s">
        <v>75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4" t="n">
        <f aca="false">COUNT(F13:O13)</f>
        <v>0</v>
      </c>
      <c r="Q13" s="15" t="str">
        <f aca="false">IF(P13&lt;2,"",AVERAGE(F13:O13))</f>
        <v/>
      </c>
      <c r="R13" s="15" t="str">
        <f aca="false">IF(P13&lt;2,"",STDEV(F13:O13))</f>
        <v/>
      </c>
      <c r="S13" s="16" t="str">
        <f aca="false">IF(P13&lt;2,"",IF(Q13=0,"",R13/Q13*100))</f>
        <v/>
      </c>
      <c r="T13" s="15" t="str">
        <f aca="false">IF(AB13="","",IF(AB13=AC13,AD13,AD13+(AE13-AD13)*(Q13-AB13)/(AC13-AB13)))</f>
        <v/>
      </c>
      <c r="U13" s="16" t="str">
        <f aca="false">IF(OR(T13="",R13=""),"",IF(T13=0,"",R13/T13))</f>
        <v/>
      </c>
      <c r="V13" s="17" t="str">
        <f aca="false">IF(Q13="","",IF(T13="","기준없음",IF(R13&lt;=T13*$C$2,"합격","불합격")))</f>
        <v/>
      </c>
      <c r="W13" s="18" t="str">
        <f aca="false">IF(OR(Q13="",D13=""),"",Q13-D13)</f>
        <v/>
      </c>
      <c r="X13" s="15" t="str">
        <f aca="false">IF(W13="","",IF(E13&lt;&gt;"",E13,IF(T13="","",T13*$C$3)))</f>
        <v/>
      </c>
      <c r="Y13" s="17" t="str">
        <f aca="false">IF(OR(W13="",X13=""),"",IF(ABS(W13)&lt;=X13,"합격","불합격"))</f>
        <v/>
      </c>
      <c r="Z13" s="19" t="str">
        <f aca="false">IF(OR(AA13="",Q13=""),"",IF(AB13="","기준SD 데이터 없음 ",IF(Q13&lt;_xlfn.MINIFS(기준SD!$C$2:$C$500,기준SD!$E$2:$E$500,AA13),"최저 레벨 미만→최저 레벨 SD 적용 ",IF(Q13&gt;_xlfn.MAXIFS(기준SD!$C$2:$C$500,기준SD!$E$2:$E$500,AA13),"최고 레벨 초과→최고 레벨 SD 적용 ","")))&amp;IF(SUMIFS(원소정보!$E$2:$E$200,원소정보!$F$2:$F$200,AA13)&gt;0,IF(Q13&gt;SUMIFS(원소정보!$E$2:$E$200,원소정보!$F$2:$F$200,AA13),"검량범위 초과 ",""),"")&amp;IF(SUMIFS(원소정보!$D$2:$D$200,원소정보!$F$2:$F$200,AA13)&gt;0,IF(Q13&lt;SUMIFS(원소정보!$D$2:$D$200,원소정보!$F$2:$F$200,AA13)/10000,"검출한계 미만",""),""))</f>
        <v/>
      </c>
      <c r="AA13" s="19" t="str">
        <f aca="false">IF(OR(A13="",C13=""),"",A13&amp;"|"&amp;C13)</f>
        <v>Fe|Cr</v>
      </c>
      <c r="AB13" s="20" t="str">
        <f aca="false">IF(OR(AA13="",Q13=""),"",IF(COUNTIF(기준SD!$E$2:$E$500,AA13)=0,"",IF(COUNTIFS(기준SD!$E$2:$E$500,AA13,기준SD!$C$2:$C$500,"&lt;="&amp;Q13)=0,_xlfn.MINIFS(기준SD!$C$2:$C$500,기준SD!$E$2:$E$500,AA13),_xlfn.MAXIFS(기준SD!$C$2:$C$500,기준SD!$E$2:$E$500,AA13,기준SD!$C$2:$C$500,"&lt;="&amp;Q13))))</f>
        <v/>
      </c>
      <c r="AC13" s="20" t="str">
        <f aca="false">IF(AB13="","",IF(COUNTIFS(기준SD!$E$2:$E$500,AA13,기준SD!$C$2:$C$500,"&gt;="&amp;Q13)=0,_xlfn.MAXIFS(기준SD!$C$2:$C$500,기준SD!$E$2:$E$500,AA13),_xlfn.MINIFS(기준SD!$C$2:$C$500,기준SD!$E$2:$E$500,AA13,기준SD!$C$2:$C$500,"&gt;="&amp;Q13)))</f>
        <v/>
      </c>
      <c r="AD13" s="15" t="str">
        <f aca="false">IF(AB13="","",SUMIFS(기준SD!$D$2:$D$500,기준SD!$E$2:$E$500,AA13,기준SD!$C$2:$C$500,AB13))</f>
        <v/>
      </c>
      <c r="AE13" s="15" t="str">
        <f aca="false">IF(AC13="","",SUMIFS(기준SD!$D$2:$D$500,기준SD!$E$2:$E$500,AA13,기준SD!$C$2:$C$500,AC13))</f>
        <v/>
      </c>
    </row>
    <row r="14" customFormat="false" ht="15" hidden="false" customHeight="false" outlineLevel="0" collapsed="false">
      <c r="A14" s="8" t="s">
        <v>66</v>
      </c>
      <c r="B14" s="8"/>
      <c r="C14" s="8" t="s">
        <v>76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4" t="n">
        <f aca="false">COUNT(F14:O14)</f>
        <v>0</v>
      </c>
      <c r="Q14" s="15" t="str">
        <f aca="false">IF(P14&lt;2,"",AVERAGE(F14:O14))</f>
        <v/>
      </c>
      <c r="R14" s="15" t="str">
        <f aca="false">IF(P14&lt;2,"",STDEV(F14:O14))</f>
        <v/>
      </c>
      <c r="S14" s="16" t="str">
        <f aca="false">IF(P14&lt;2,"",IF(Q14=0,"",R14/Q14*100))</f>
        <v/>
      </c>
      <c r="T14" s="15" t="str">
        <f aca="false">IF(AB14="","",IF(AB14=AC14,AD14,AD14+(AE14-AD14)*(Q14-AB14)/(AC14-AB14)))</f>
        <v/>
      </c>
      <c r="U14" s="16" t="str">
        <f aca="false">IF(OR(T14="",R14=""),"",IF(T14=0,"",R14/T14))</f>
        <v/>
      </c>
      <c r="V14" s="17" t="str">
        <f aca="false">IF(Q14="","",IF(T14="","기준없음",IF(R14&lt;=T14*$C$2,"합격","불합격")))</f>
        <v/>
      </c>
      <c r="W14" s="18" t="str">
        <f aca="false">IF(OR(Q14="",D14=""),"",Q14-D14)</f>
        <v/>
      </c>
      <c r="X14" s="15" t="str">
        <f aca="false">IF(W14="","",IF(E14&lt;&gt;"",E14,IF(T14="","",T14*$C$3)))</f>
        <v/>
      </c>
      <c r="Y14" s="17" t="str">
        <f aca="false">IF(OR(W14="",X14=""),"",IF(ABS(W14)&lt;=X14,"합격","불합격"))</f>
        <v/>
      </c>
      <c r="Z14" s="19" t="str">
        <f aca="false">IF(OR(AA14="",Q14=""),"",IF(AB14="","기준SD 데이터 없음 ",IF(Q14&lt;_xlfn.MINIFS(기준SD!$C$2:$C$500,기준SD!$E$2:$E$500,AA14),"최저 레벨 미만→최저 레벨 SD 적용 ",IF(Q14&gt;_xlfn.MAXIFS(기준SD!$C$2:$C$500,기준SD!$E$2:$E$500,AA14),"최고 레벨 초과→최고 레벨 SD 적용 ","")))&amp;IF(SUMIFS(원소정보!$E$2:$E$200,원소정보!$F$2:$F$200,AA14)&gt;0,IF(Q14&gt;SUMIFS(원소정보!$E$2:$E$200,원소정보!$F$2:$F$200,AA14),"검량범위 초과 ",""),"")&amp;IF(SUMIFS(원소정보!$D$2:$D$200,원소정보!$F$2:$F$200,AA14)&gt;0,IF(Q14&lt;SUMIFS(원소정보!$D$2:$D$200,원소정보!$F$2:$F$200,AA14)/10000,"검출한계 미만",""),""))</f>
        <v/>
      </c>
      <c r="AA14" s="19" t="str">
        <f aca="false">IF(OR(A14="",C14=""),"",A14&amp;"|"&amp;C14)</f>
        <v>Fe|Cu</v>
      </c>
      <c r="AB14" s="20" t="str">
        <f aca="false">IF(OR(AA14="",Q14=""),"",IF(COUNTIF(기준SD!$E$2:$E$500,AA14)=0,"",IF(COUNTIFS(기준SD!$E$2:$E$500,AA14,기준SD!$C$2:$C$500,"&lt;="&amp;Q14)=0,_xlfn.MINIFS(기준SD!$C$2:$C$500,기준SD!$E$2:$E$500,AA14),_xlfn.MAXIFS(기준SD!$C$2:$C$500,기준SD!$E$2:$E$500,AA14,기준SD!$C$2:$C$500,"&lt;="&amp;Q14))))</f>
        <v/>
      </c>
      <c r="AC14" s="20" t="str">
        <f aca="false">IF(AB14="","",IF(COUNTIFS(기준SD!$E$2:$E$500,AA14,기준SD!$C$2:$C$500,"&gt;="&amp;Q14)=0,_xlfn.MAXIFS(기준SD!$C$2:$C$500,기준SD!$E$2:$E$500,AA14),_xlfn.MINIFS(기준SD!$C$2:$C$500,기준SD!$E$2:$E$500,AA14,기준SD!$C$2:$C$500,"&gt;="&amp;Q14)))</f>
        <v/>
      </c>
      <c r="AD14" s="15" t="str">
        <f aca="false">IF(AB14="","",SUMIFS(기준SD!$D$2:$D$500,기준SD!$E$2:$E$500,AA14,기준SD!$C$2:$C$500,AB14))</f>
        <v/>
      </c>
      <c r="AE14" s="15" t="str">
        <f aca="false">IF(AC14="","",SUMIFS(기준SD!$D$2:$D$500,기준SD!$E$2:$E$500,AA14,기준SD!$C$2:$C$500,AC14))</f>
        <v/>
      </c>
    </row>
    <row r="15" customFormat="false" ht="15" hidden="false" customHeight="false" outlineLevel="0" collapsed="false">
      <c r="A15" s="8" t="s">
        <v>66</v>
      </c>
      <c r="B15" s="8"/>
      <c r="C15" s="8" t="s">
        <v>77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4" t="n">
        <f aca="false">COUNT(F15:O15)</f>
        <v>0</v>
      </c>
      <c r="Q15" s="15" t="str">
        <f aca="false">IF(P15&lt;2,"",AVERAGE(F15:O15))</f>
        <v/>
      </c>
      <c r="R15" s="15" t="str">
        <f aca="false">IF(P15&lt;2,"",STDEV(F15:O15))</f>
        <v/>
      </c>
      <c r="S15" s="16" t="str">
        <f aca="false">IF(P15&lt;2,"",IF(Q15=0,"",R15/Q15*100))</f>
        <v/>
      </c>
      <c r="T15" s="15" t="str">
        <f aca="false">IF(AB15="","",IF(AB15=AC15,AD15,AD15+(AE15-AD15)*(Q15-AB15)/(AC15-AB15)))</f>
        <v/>
      </c>
      <c r="U15" s="16" t="str">
        <f aca="false">IF(OR(T15="",R15=""),"",IF(T15=0,"",R15/T15))</f>
        <v/>
      </c>
      <c r="V15" s="17" t="str">
        <f aca="false">IF(Q15="","",IF(T15="","기준없음",IF(R15&lt;=T15*$C$2,"합격","불합격")))</f>
        <v/>
      </c>
      <c r="W15" s="18" t="str">
        <f aca="false">IF(OR(Q15="",D15=""),"",Q15-D15)</f>
        <v/>
      </c>
      <c r="X15" s="15" t="str">
        <f aca="false">IF(W15="","",IF(E15&lt;&gt;"",E15,IF(T15="","",T15*$C$3)))</f>
        <v/>
      </c>
      <c r="Y15" s="17" t="str">
        <f aca="false">IF(OR(W15="",X15=""),"",IF(ABS(W15)&lt;=X15,"합격","불합격"))</f>
        <v/>
      </c>
      <c r="Z15" s="19" t="str">
        <f aca="false">IF(OR(AA15="",Q15=""),"",IF(AB15="","기준SD 데이터 없음 ",IF(Q15&lt;_xlfn.MINIFS(기준SD!$C$2:$C$500,기준SD!$E$2:$E$500,AA15),"최저 레벨 미만→최저 레벨 SD 적용 ",IF(Q15&gt;_xlfn.MAXIFS(기준SD!$C$2:$C$500,기준SD!$E$2:$E$500,AA15),"최고 레벨 초과→최고 레벨 SD 적용 ","")))&amp;IF(SUMIFS(원소정보!$E$2:$E$200,원소정보!$F$2:$F$200,AA15)&gt;0,IF(Q15&gt;SUMIFS(원소정보!$E$2:$E$200,원소정보!$F$2:$F$200,AA15),"검량범위 초과 ",""),"")&amp;IF(SUMIFS(원소정보!$D$2:$D$200,원소정보!$F$2:$F$200,AA15)&gt;0,IF(Q15&lt;SUMIFS(원소정보!$D$2:$D$200,원소정보!$F$2:$F$200,AA15)/10000,"검출한계 미만",""),""))</f>
        <v/>
      </c>
      <c r="AA15" s="19" t="str">
        <f aca="false">IF(OR(A15="",C15=""),"",A15&amp;"|"&amp;C15)</f>
        <v>Fe|Mg</v>
      </c>
      <c r="AB15" s="20" t="str">
        <f aca="false">IF(OR(AA15="",Q15=""),"",IF(COUNTIF(기준SD!$E$2:$E$500,AA15)=0,"",IF(COUNTIFS(기준SD!$E$2:$E$500,AA15,기준SD!$C$2:$C$500,"&lt;="&amp;Q15)=0,_xlfn.MINIFS(기준SD!$C$2:$C$500,기준SD!$E$2:$E$500,AA15),_xlfn.MAXIFS(기준SD!$C$2:$C$500,기준SD!$E$2:$E$500,AA15,기준SD!$C$2:$C$500,"&lt;="&amp;Q15))))</f>
        <v/>
      </c>
      <c r="AC15" s="20" t="str">
        <f aca="false">IF(AB15="","",IF(COUNTIFS(기준SD!$E$2:$E$500,AA15,기준SD!$C$2:$C$500,"&gt;="&amp;Q15)=0,_xlfn.MAXIFS(기준SD!$C$2:$C$500,기준SD!$E$2:$E$500,AA15),_xlfn.MINIFS(기준SD!$C$2:$C$500,기준SD!$E$2:$E$500,AA15,기준SD!$C$2:$C$500,"&gt;="&amp;Q15)))</f>
        <v/>
      </c>
      <c r="AD15" s="15" t="str">
        <f aca="false">IF(AB15="","",SUMIFS(기준SD!$D$2:$D$500,기준SD!$E$2:$E$500,AA15,기준SD!$C$2:$C$500,AB15))</f>
        <v/>
      </c>
      <c r="AE15" s="15" t="str">
        <f aca="false">IF(AC15="","",SUMIFS(기준SD!$D$2:$D$500,기준SD!$E$2:$E$500,AA15,기준SD!$C$2:$C$500,AC15))</f>
        <v/>
      </c>
    </row>
    <row r="16" customFormat="false" ht="15" hidden="false" customHeight="false" outlineLevel="0" collapsed="false">
      <c r="A16" s="8" t="s">
        <v>66</v>
      </c>
      <c r="B16" s="8"/>
      <c r="C16" s="8" t="s">
        <v>68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4" t="n">
        <f aca="false">COUNT(F16:O16)</f>
        <v>0</v>
      </c>
      <c r="Q16" s="15" t="str">
        <f aca="false">IF(P16&lt;2,"",AVERAGE(F16:O16))</f>
        <v/>
      </c>
      <c r="R16" s="15" t="str">
        <f aca="false">IF(P16&lt;2,"",STDEV(F16:O16))</f>
        <v/>
      </c>
      <c r="S16" s="16" t="str">
        <f aca="false">IF(P16&lt;2,"",IF(Q16=0,"",R16/Q16*100))</f>
        <v/>
      </c>
      <c r="T16" s="15" t="str">
        <f aca="false">IF(AB16="","",IF(AB16=AC16,AD16,AD16+(AE16-AD16)*(Q16-AB16)/(AC16-AB16)))</f>
        <v/>
      </c>
      <c r="U16" s="16" t="str">
        <f aca="false">IF(OR(T16="",R16=""),"",IF(T16=0,"",R16/T16))</f>
        <v/>
      </c>
      <c r="V16" s="17" t="str">
        <f aca="false">IF(Q16="","",IF(T16="","기준없음",IF(R16&lt;=T16*$C$2,"합격","불합격")))</f>
        <v/>
      </c>
      <c r="W16" s="18" t="str">
        <f aca="false">IF(OR(Q16="",D16=""),"",Q16-D16)</f>
        <v/>
      </c>
      <c r="X16" s="15" t="str">
        <f aca="false">IF(W16="","",IF(E16&lt;&gt;"",E16,IF(T16="","",T16*$C$3)))</f>
        <v/>
      </c>
      <c r="Y16" s="17" t="str">
        <f aca="false">IF(OR(W16="",X16=""),"",IF(ABS(W16)&lt;=X16,"합격","불합격"))</f>
        <v/>
      </c>
      <c r="Z16" s="19" t="str">
        <f aca="false">IF(OR(AA16="",Q16=""),"",IF(AB16="","기준SD 데이터 없음 ",IF(Q16&lt;_xlfn.MINIFS(기준SD!$C$2:$C$500,기준SD!$E$2:$E$500,AA16),"최저 레벨 미만→최저 레벨 SD 적용 ",IF(Q16&gt;_xlfn.MAXIFS(기준SD!$C$2:$C$500,기준SD!$E$2:$E$500,AA16),"최고 레벨 초과→최고 레벨 SD 적용 ","")))&amp;IF(SUMIFS(원소정보!$E$2:$E$200,원소정보!$F$2:$F$200,AA16)&gt;0,IF(Q16&gt;SUMIFS(원소정보!$E$2:$E$200,원소정보!$F$2:$F$200,AA16),"검량범위 초과 ",""),"")&amp;IF(SUMIFS(원소정보!$D$2:$D$200,원소정보!$F$2:$F$200,AA16)&gt;0,IF(Q16&lt;SUMIFS(원소정보!$D$2:$D$200,원소정보!$F$2:$F$200,AA16)/10000,"검출한계 미만",""),""))</f>
        <v/>
      </c>
      <c r="AA16" s="19" t="str">
        <f aca="false">IF(OR(A16="",C16=""),"",A16&amp;"|"&amp;C16)</f>
        <v>Fe|Mn</v>
      </c>
      <c r="AB16" s="20" t="str">
        <f aca="false">IF(OR(AA16="",Q16=""),"",IF(COUNTIF(기준SD!$E$2:$E$500,AA16)=0,"",IF(COUNTIFS(기준SD!$E$2:$E$500,AA16,기준SD!$C$2:$C$500,"&lt;="&amp;Q16)=0,_xlfn.MINIFS(기준SD!$C$2:$C$500,기준SD!$E$2:$E$500,AA16),_xlfn.MAXIFS(기준SD!$C$2:$C$500,기준SD!$E$2:$E$500,AA16,기준SD!$C$2:$C$500,"&lt;="&amp;Q16))))</f>
        <v/>
      </c>
      <c r="AC16" s="20" t="str">
        <f aca="false">IF(AB16="","",IF(COUNTIFS(기준SD!$E$2:$E$500,AA16,기준SD!$C$2:$C$500,"&gt;="&amp;Q16)=0,_xlfn.MAXIFS(기준SD!$C$2:$C$500,기준SD!$E$2:$E$500,AA16),_xlfn.MINIFS(기준SD!$C$2:$C$500,기준SD!$E$2:$E$500,AA16,기준SD!$C$2:$C$500,"&gt;="&amp;Q16)))</f>
        <v/>
      </c>
      <c r="AD16" s="15" t="str">
        <f aca="false">IF(AB16="","",SUMIFS(기준SD!$D$2:$D$500,기준SD!$E$2:$E$500,AA16,기준SD!$C$2:$C$500,AB16))</f>
        <v/>
      </c>
      <c r="AE16" s="15" t="str">
        <f aca="false">IF(AC16="","",SUMIFS(기준SD!$D$2:$D$500,기준SD!$E$2:$E$500,AA16,기준SD!$C$2:$C$500,AC16))</f>
        <v/>
      </c>
    </row>
    <row r="17" customFormat="false" ht="15" hidden="false" customHeight="false" outlineLevel="0" collapsed="false">
      <c r="A17" s="8" t="s">
        <v>66</v>
      </c>
      <c r="B17" s="8"/>
      <c r="C17" s="8" t="s">
        <v>78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 t="n">
        <f aca="false">COUNT(F17:O17)</f>
        <v>0</v>
      </c>
      <c r="Q17" s="15" t="str">
        <f aca="false">IF(P17&lt;2,"",AVERAGE(F17:O17))</f>
        <v/>
      </c>
      <c r="R17" s="15" t="str">
        <f aca="false">IF(P17&lt;2,"",STDEV(F17:O17))</f>
        <v/>
      </c>
      <c r="S17" s="16" t="str">
        <f aca="false">IF(P17&lt;2,"",IF(Q17=0,"",R17/Q17*100))</f>
        <v/>
      </c>
      <c r="T17" s="15" t="str">
        <f aca="false">IF(AB17="","",IF(AB17=AC17,AD17,AD17+(AE17-AD17)*(Q17-AB17)/(AC17-AB17)))</f>
        <v/>
      </c>
      <c r="U17" s="16" t="str">
        <f aca="false">IF(OR(T17="",R17=""),"",IF(T17=0,"",R17/T17))</f>
        <v/>
      </c>
      <c r="V17" s="17" t="str">
        <f aca="false">IF(Q17="","",IF(T17="","기준없음",IF(R17&lt;=T17*$C$2,"합격","불합격")))</f>
        <v/>
      </c>
      <c r="W17" s="18" t="str">
        <f aca="false">IF(OR(Q17="",D17=""),"",Q17-D17)</f>
        <v/>
      </c>
      <c r="X17" s="15" t="str">
        <f aca="false">IF(W17="","",IF(E17&lt;&gt;"",E17,IF(T17="","",T17*$C$3)))</f>
        <v/>
      </c>
      <c r="Y17" s="17" t="str">
        <f aca="false">IF(OR(W17="",X17=""),"",IF(ABS(W17)&lt;=X17,"합격","불합격"))</f>
        <v/>
      </c>
      <c r="Z17" s="19" t="str">
        <f aca="false">IF(OR(AA17="",Q17=""),"",IF(AB17="","기준SD 데이터 없음 ",IF(Q17&lt;_xlfn.MINIFS(기준SD!$C$2:$C$500,기준SD!$E$2:$E$500,AA17),"최저 레벨 미만→최저 레벨 SD 적용 ",IF(Q17&gt;_xlfn.MAXIFS(기준SD!$C$2:$C$500,기준SD!$E$2:$E$500,AA17),"최고 레벨 초과→최고 레벨 SD 적용 ","")))&amp;IF(SUMIFS(원소정보!$E$2:$E$200,원소정보!$F$2:$F$200,AA17)&gt;0,IF(Q17&gt;SUMIFS(원소정보!$E$2:$E$200,원소정보!$F$2:$F$200,AA17),"검량범위 초과 ",""),"")&amp;IF(SUMIFS(원소정보!$D$2:$D$200,원소정보!$F$2:$F$200,AA17)&gt;0,IF(Q17&lt;SUMIFS(원소정보!$D$2:$D$200,원소정보!$F$2:$F$200,AA17)/10000,"검출한계 미만",""),""))</f>
        <v/>
      </c>
      <c r="AA17" s="19" t="str">
        <f aca="false">IF(OR(A17="",C17=""),"",A17&amp;"|"&amp;C17)</f>
        <v>Fe|Mo</v>
      </c>
      <c r="AB17" s="20" t="str">
        <f aca="false">IF(OR(AA17="",Q17=""),"",IF(COUNTIF(기준SD!$E$2:$E$500,AA17)=0,"",IF(COUNTIFS(기준SD!$E$2:$E$500,AA17,기준SD!$C$2:$C$500,"&lt;="&amp;Q17)=0,_xlfn.MINIFS(기준SD!$C$2:$C$500,기준SD!$E$2:$E$500,AA17),_xlfn.MAXIFS(기준SD!$C$2:$C$500,기준SD!$E$2:$E$500,AA17,기준SD!$C$2:$C$500,"&lt;="&amp;Q17))))</f>
        <v/>
      </c>
      <c r="AC17" s="20" t="str">
        <f aca="false">IF(AB17="","",IF(COUNTIFS(기준SD!$E$2:$E$500,AA17,기준SD!$C$2:$C$500,"&gt;="&amp;Q17)=0,_xlfn.MAXIFS(기준SD!$C$2:$C$500,기준SD!$E$2:$E$500,AA17),_xlfn.MINIFS(기준SD!$C$2:$C$500,기준SD!$E$2:$E$500,AA17,기준SD!$C$2:$C$500,"&gt;="&amp;Q17)))</f>
        <v/>
      </c>
      <c r="AD17" s="15" t="str">
        <f aca="false">IF(AB17="","",SUMIFS(기준SD!$D$2:$D$500,기준SD!$E$2:$E$500,AA17,기준SD!$C$2:$C$500,AB17))</f>
        <v/>
      </c>
      <c r="AE17" s="15" t="str">
        <f aca="false">IF(AC17="","",SUMIFS(기준SD!$D$2:$D$500,기준SD!$E$2:$E$500,AA17,기준SD!$C$2:$C$500,AC17))</f>
        <v/>
      </c>
    </row>
    <row r="18" customFormat="false" ht="15" hidden="false" customHeight="false" outlineLevel="0" collapsed="false">
      <c r="A18" s="8" t="s">
        <v>66</v>
      </c>
      <c r="B18" s="8"/>
      <c r="C18" s="8" t="s">
        <v>79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4" t="n">
        <f aca="false">COUNT(F18:O18)</f>
        <v>0</v>
      </c>
      <c r="Q18" s="15" t="str">
        <f aca="false">IF(P18&lt;2,"",AVERAGE(F18:O18))</f>
        <v/>
      </c>
      <c r="R18" s="15" t="str">
        <f aca="false">IF(P18&lt;2,"",STDEV(F18:O18))</f>
        <v/>
      </c>
      <c r="S18" s="16" t="str">
        <f aca="false">IF(P18&lt;2,"",IF(Q18=0,"",R18/Q18*100))</f>
        <v/>
      </c>
      <c r="T18" s="15" t="str">
        <f aca="false">IF(AB18="","",IF(AB18=AC18,AD18,AD18+(AE18-AD18)*(Q18-AB18)/(AC18-AB18)))</f>
        <v/>
      </c>
      <c r="U18" s="16" t="str">
        <f aca="false">IF(OR(T18="",R18=""),"",IF(T18=0,"",R18/T18))</f>
        <v/>
      </c>
      <c r="V18" s="17" t="str">
        <f aca="false">IF(Q18="","",IF(T18="","기준없음",IF(R18&lt;=T18*$C$2,"합격","불합격")))</f>
        <v/>
      </c>
      <c r="W18" s="18" t="str">
        <f aca="false">IF(OR(Q18="",D18=""),"",Q18-D18)</f>
        <v/>
      </c>
      <c r="X18" s="15" t="str">
        <f aca="false">IF(W18="","",IF(E18&lt;&gt;"",E18,IF(T18="","",T18*$C$3)))</f>
        <v/>
      </c>
      <c r="Y18" s="17" t="str">
        <f aca="false">IF(OR(W18="",X18=""),"",IF(ABS(W18)&lt;=X18,"합격","불합격"))</f>
        <v/>
      </c>
      <c r="Z18" s="19" t="str">
        <f aca="false">IF(OR(AA18="",Q18=""),"",IF(AB18="","기준SD 데이터 없음 ",IF(Q18&lt;_xlfn.MINIFS(기준SD!$C$2:$C$500,기준SD!$E$2:$E$500,AA18),"최저 레벨 미만→최저 레벨 SD 적용 ",IF(Q18&gt;_xlfn.MAXIFS(기준SD!$C$2:$C$500,기준SD!$E$2:$E$500,AA18),"최고 레벨 초과→최고 레벨 SD 적용 ","")))&amp;IF(SUMIFS(원소정보!$E$2:$E$200,원소정보!$F$2:$F$200,AA18)&gt;0,IF(Q18&gt;SUMIFS(원소정보!$E$2:$E$200,원소정보!$F$2:$F$200,AA18),"검량범위 초과 ",""),"")&amp;IF(SUMIFS(원소정보!$D$2:$D$200,원소정보!$F$2:$F$200,AA18)&gt;0,IF(Q18&lt;SUMIFS(원소정보!$D$2:$D$200,원소정보!$F$2:$F$200,AA18)/10000,"검출한계 미만",""),""))</f>
        <v/>
      </c>
      <c r="AA18" s="19" t="str">
        <f aca="false">IF(OR(A18="",C18=""),"",A18&amp;"|"&amp;C18)</f>
        <v>Fe|Nb</v>
      </c>
      <c r="AB18" s="20" t="str">
        <f aca="false">IF(OR(AA18="",Q18=""),"",IF(COUNTIF(기준SD!$E$2:$E$500,AA18)=0,"",IF(COUNTIFS(기준SD!$E$2:$E$500,AA18,기준SD!$C$2:$C$500,"&lt;="&amp;Q18)=0,_xlfn.MINIFS(기준SD!$C$2:$C$500,기준SD!$E$2:$E$500,AA18),_xlfn.MAXIFS(기준SD!$C$2:$C$500,기준SD!$E$2:$E$500,AA18,기준SD!$C$2:$C$500,"&lt;="&amp;Q18))))</f>
        <v/>
      </c>
      <c r="AC18" s="20" t="str">
        <f aca="false">IF(AB18="","",IF(COUNTIFS(기준SD!$E$2:$E$500,AA18,기준SD!$C$2:$C$500,"&gt;="&amp;Q18)=0,_xlfn.MAXIFS(기준SD!$C$2:$C$500,기준SD!$E$2:$E$500,AA18),_xlfn.MINIFS(기준SD!$C$2:$C$500,기준SD!$E$2:$E$500,AA18,기준SD!$C$2:$C$500,"&gt;="&amp;Q18)))</f>
        <v/>
      </c>
      <c r="AD18" s="15" t="str">
        <f aca="false">IF(AB18="","",SUMIFS(기준SD!$D$2:$D$500,기준SD!$E$2:$E$500,AA18,기준SD!$C$2:$C$500,AB18))</f>
        <v/>
      </c>
      <c r="AE18" s="15" t="str">
        <f aca="false">IF(AC18="","",SUMIFS(기준SD!$D$2:$D$500,기준SD!$E$2:$E$500,AA18,기준SD!$C$2:$C$500,AC18))</f>
        <v/>
      </c>
    </row>
    <row r="19" customFormat="false" ht="15" hidden="false" customHeight="false" outlineLevel="0" collapsed="false">
      <c r="A19" s="8" t="s">
        <v>66</v>
      </c>
      <c r="B19" s="8"/>
      <c r="C19" s="8" t="s">
        <v>80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4" t="n">
        <f aca="false">COUNT(F19:O19)</f>
        <v>0</v>
      </c>
      <c r="Q19" s="15" t="str">
        <f aca="false">IF(P19&lt;2,"",AVERAGE(F19:O19))</f>
        <v/>
      </c>
      <c r="R19" s="15" t="str">
        <f aca="false">IF(P19&lt;2,"",STDEV(F19:O19))</f>
        <v/>
      </c>
      <c r="S19" s="16" t="str">
        <f aca="false">IF(P19&lt;2,"",IF(Q19=0,"",R19/Q19*100))</f>
        <v/>
      </c>
      <c r="T19" s="15" t="str">
        <f aca="false">IF(AB19="","",IF(AB19=AC19,AD19,AD19+(AE19-AD19)*(Q19-AB19)/(AC19-AB19)))</f>
        <v/>
      </c>
      <c r="U19" s="16" t="str">
        <f aca="false">IF(OR(T19="",R19=""),"",IF(T19=0,"",R19/T19))</f>
        <v/>
      </c>
      <c r="V19" s="17" t="str">
        <f aca="false">IF(Q19="","",IF(T19="","기준없음",IF(R19&lt;=T19*$C$2,"합격","불합격")))</f>
        <v/>
      </c>
      <c r="W19" s="18" t="str">
        <f aca="false">IF(OR(Q19="",D19=""),"",Q19-D19)</f>
        <v/>
      </c>
      <c r="X19" s="15" t="str">
        <f aca="false">IF(W19="","",IF(E19&lt;&gt;"",E19,IF(T19="","",T19*$C$3)))</f>
        <v/>
      </c>
      <c r="Y19" s="17" t="str">
        <f aca="false">IF(OR(W19="",X19=""),"",IF(ABS(W19)&lt;=X19,"합격","불합격"))</f>
        <v/>
      </c>
      <c r="Z19" s="19" t="str">
        <f aca="false">IF(OR(AA19="",Q19=""),"",IF(AB19="","기준SD 데이터 없음 ",IF(Q19&lt;_xlfn.MINIFS(기준SD!$C$2:$C$500,기준SD!$E$2:$E$500,AA19),"최저 레벨 미만→최저 레벨 SD 적용 ",IF(Q19&gt;_xlfn.MAXIFS(기준SD!$C$2:$C$500,기준SD!$E$2:$E$500,AA19),"최고 레벨 초과→최고 레벨 SD 적용 ","")))&amp;IF(SUMIFS(원소정보!$E$2:$E$200,원소정보!$F$2:$F$200,AA19)&gt;0,IF(Q19&gt;SUMIFS(원소정보!$E$2:$E$200,원소정보!$F$2:$F$200,AA19),"검량범위 초과 ",""),"")&amp;IF(SUMIFS(원소정보!$D$2:$D$200,원소정보!$F$2:$F$200,AA19)&gt;0,IF(Q19&lt;SUMIFS(원소정보!$D$2:$D$200,원소정보!$F$2:$F$200,AA19)/10000,"검출한계 미만",""),""))</f>
        <v/>
      </c>
      <c r="AA19" s="19" t="str">
        <f aca="false">IF(OR(A19="",C19=""),"",A19&amp;"|"&amp;C19)</f>
        <v>Fe|Ni</v>
      </c>
      <c r="AB19" s="20" t="str">
        <f aca="false">IF(OR(AA19="",Q19=""),"",IF(COUNTIF(기준SD!$E$2:$E$500,AA19)=0,"",IF(COUNTIFS(기준SD!$E$2:$E$500,AA19,기준SD!$C$2:$C$500,"&lt;="&amp;Q19)=0,_xlfn.MINIFS(기준SD!$C$2:$C$500,기준SD!$E$2:$E$500,AA19),_xlfn.MAXIFS(기준SD!$C$2:$C$500,기준SD!$E$2:$E$500,AA19,기준SD!$C$2:$C$500,"&lt;="&amp;Q19))))</f>
        <v/>
      </c>
      <c r="AC19" s="20" t="str">
        <f aca="false">IF(AB19="","",IF(COUNTIFS(기준SD!$E$2:$E$500,AA19,기준SD!$C$2:$C$500,"&gt;="&amp;Q19)=0,_xlfn.MAXIFS(기준SD!$C$2:$C$500,기준SD!$E$2:$E$500,AA19),_xlfn.MINIFS(기준SD!$C$2:$C$500,기준SD!$E$2:$E$500,AA19,기준SD!$C$2:$C$500,"&gt;="&amp;Q19)))</f>
        <v/>
      </c>
      <c r="AD19" s="15" t="str">
        <f aca="false">IF(AB19="","",SUMIFS(기준SD!$D$2:$D$500,기준SD!$E$2:$E$500,AA19,기준SD!$C$2:$C$500,AB19))</f>
        <v/>
      </c>
      <c r="AE19" s="15" t="str">
        <f aca="false">IF(AC19="","",SUMIFS(기준SD!$D$2:$D$500,기준SD!$E$2:$E$500,AA19,기준SD!$C$2:$C$500,AC19))</f>
        <v/>
      </c>
    </row>
    <row r="20" customFormat="false" ht="15" hidden="false" customHeight="false" outlineLevel="0" collapsed="false">
      <c r="A20" s="8" t="s">
        <v>66</v>
      </c>
      <c r="B20" s="8"/>
      <c r="C20" s="8" t="s">
        <v>81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4" t="n">
        <f aca="false">COUNT(F20:O20)</f>
        <v>0</v>
      </c>
      <c r="Q20" s="15" t="str">
        <f aca="false">IF(P20&lt;2,"",AVERAGE(F20:O20))</f>
        <v/>
      </c>
      <c r="R20" s="15" t="str">
        <f aca="false">IF(P20&lt;2,"",STDEV(F20:O20))</f>
        <v/>
      </c>
      <c r="S20" s="16" t="str">
        <f aca="false">IF(P20&lt;2,"",IF(Q20=0,"",R20/Q20*100))</f>
        <v/>
      </c>
      <c r="T20" s="15" t="str">
        <f aca="false">IF(AB20="","",IF(AB20=AC20,AD20,AD20+(AE20-AD20)*(Q20-AB20)/(AC20-AB20)))</f>
        <v/>
      </c>
      <c r="U20" s="16" t="str">
        <f aca="false">IF(OR(T20="",R20=""),"",IF(T20=0,"",R20/T20))</f>
        <v/>
      </c>
      <c r="V20" s="17" t="str">
        <f aca="false">IF(Q20="","",IF(T20="","기준없음",IF(R20&lt;=T20*$C$2,"합격","불합격")))</f>
        <v/>
      </c>
      <c r="W20" s="18" t="str">
        <f aca="false">IF(OR(Q20="",D20=""),"",Q20-D20)</f>
        <v/>
      </c>
      <c r="X20" s="15" t="str">
        <f aca="false">IF(W20="","",IF(E20&lt;&gt;"",E20,IF(T20="","",T20*$C$3)))</f>
        <v/>
      </c>
      <c r="Y20" s="17" t="str">
        <f aca="false">IF(OR(W20="",X20=""),"",IF(ABS(W20)&lt;=X20,"합격","불합격"))</f>
        <v/>
      </c>
      <c r="Z20" s="19" t="str">
        <f aca="false">IF(OR(AA20="",Q20=""),"",IF(AB20="","기준SD 데이터 없음 ",IF(Q20&lt;_xlfn.MINIFS(기준SD!$C$2:$C$500,기준SD!$E$2:$E$500,AA20),"최저 레벨 미만→최저 레벨 SD 적용 ",IF(Q20&gt;_xlfn.MAXIFS(기준SD!$C$2:$C$500,기준SD!$E$2:$E$500,AA20),"최고 레벨 초과→최고 레벨 SD 적용 ","")))&amp;IF(SUMIFS(원소정보!$E$2:$E$200,원소정보!$F$2:$F$200,AA20)&gt;0,IF(Q20&gt;SUMIFS(원소정보!$E$2:$E$200,원소정보!$F$2:$F$200,AA20),"검량범위 초과 ",""),"")&amp;IF(SUMIFS(원소정보!$D$2:$D$200,원소정보!$F$2:$F$200,AA20)&gt;0,IF(Q20&lt;SUMIFS(원소정보!$D$2:$D$200,원소정보!$F$2:$F$200,AA20)/10000,"검출한계 미만",""),""))</f>
        <v/>
      </c>
      <c r="AA20" s="19" t="str">
        <f aca="false">IF(OR(A20="",C20=""),"",A20&amp;"|"&amp;C20)</f>
        <v>Fe|P</v>
      </c>
      <c r="AB20" s="20" t="str">
        <f aca="false">IF(OR(AA20="",Q20=""),"",IF(COUNTIF(기준SD!$E$2:$E$500,AA20)=0,"",IF(COUNTIFS(기준SD!$E$2:$E$500,AA20,기준SD!$C$2:$C$500,"&lt;="&amp;Q20)=0,_xlfn.MINIFS(기준SD!$C$2:$C$500,기준SD!$E$2:$E$500,AA20),_xlfn.MAXIFS(기준SD!$C$2:$C$500,기준SD!$E$2:$E$500,AA20,기준SD!$C$2:$C$500,"&lt;="&amp;Q20))))</f>
        <v/>
      </c>
      <c r="AC20" s="20" t="str">
        <f aca="false">IF(AB20="","",IF(COUNTIFS(기준SD!$E$2:$E$500,AA20,기준SD!$C$2:$C$500,"&gt;="&amp;Q20)=0,_xlfn.MAXIFS(기준SD!$C$2:$C$500,기준SD!$E$2:$E$500,AA20),_xlfn.MINIFS(기준SD!$C$2:$C$500,기준SD!$E$2:$E$500,AA20,기준SD!$C$2:$C$500,"&gt;="&amp;Q20)))</f>
        <v/>
      </c>
      <c r="AD20" s="15" t="str">
        <f aca="false">IF(AB20="","",SUMIFS(기준SD!$D$2:$D$500,기준SD!$E$2:$E$500,AA20,기준SD!$C$2:$C$500,AB20))</f>
        <v/>
      </c>
      <c r="AE20" s="15" t="str">
        <f aca="false">IF(AC20="","",SUMIFS(기준SD!$D$2:$D$500,기준SD!$E$2:$E$500,AA20,기준SD!$C$2:$C$500,AC20))</f>
        <v/>
      </c>
    </row>
    <row r="21" customFormat="false" ht="15" hidden="false" customHeight="false" outlineLevel="0" collapsed="false">
      <c r="A21" s="8" t="s">
        <v>66</v>
      </c>
      <c r="B21" s="8"/>
      <c r="C21" s="8" t="s">
        <v>82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 t="n">
        <f aca="false">COUNT(F21:O21)</f>
        <v>0</v>
      </c>
      <c r="Q21" s="15" t="str">
        <f aca="false">IF(P21&lt;2,"",AVERAGE(F21:O21))</f>
        <v/>
      </c>
      <c r="R21" s="15" t="str">
        <f aca="false">IF(P21&lt;2,"",STDEV(F21:O21))</f>
        <v/>
      </c>
      <c r="S21" s="16" t="str">
        <f aca="false">IF(P21&lt;2,"",IF(Q21=0,"",R21/Q21*100))</f>
        <v/>
      </c>
      <c r="T21" s="15" t="str">
        <f aca="false">IF(AB21="","",IF(AB21=AC21,AD21,AD21+(AE21-AD21)*(Q21-AB21)/(AC21-AB21)))</f>
        <v/>
      </c>
      <c r="U21" s="16" t="str">
        <f aca="false">IF(OR(T21="",R21=""),"",IF(T21=0,"",R21/T21))</f>
        <v/>
      </c>
      <c r="V21" s="17" t="str">
        <f aca="false">IF(Q21="","",IF(T21="","기준없음",IF(R21&lt;=T21*$C$2,"합격","불합격")))</f>
        <v/>
      </c>
      <c r="W21" s="18" t="str">
        <f aca="false">IF(OR(Q21="",D21=""),"",Q21-D21)</f>
        <v/>
      </c>
      <c r="X21" s="15" t="str">
        <f aca="false">IF(W21="","",IF(E21&lt;&gt;"",E21,IF(T21="","",T21*$C$3)))</f>
        <v/>
      </c>
      <c r="Y21" s="17" t="str">
        <f aca="false">IF(OR(W21="",X21=""),"",IF(ABS(W21)&lt;=X21,"합격","불합격"))</f>
        <v/>
      </c>
      <c r="Z21" s="19" t="str">
        <f aca="false">IF(OR(AA21="",Q21=""),"",IF(AB21="","기준SD 데이터 없음 ",IF(Q21&lt;_xlfn.MINIFS(기준SD!$C$2:$C$500,기준SD!$E$2:$E$500,AA21),"최저 레벨 미만→최저 레벨 SD 적용 ",IF(Q21&gt;_xlfn.MAXIFS(기준SD!$C$2:$C$500,기준SD!$E$2:$E$500,AA21),"최고 레벨 초과→최고 레벨 SD 적용 ","")))&amp;IF(SUMIFS(원소정보!$E$2:$E$200,원소정보!$F$2:$F$200,AA21)&gt;0,IF(Q21&gt;SUMIFS(원소정보!$E$2:$E$200,원소정보!$F$2:$F$200,AA21),"검량범위 초과 ",""),"")&amp;IF(SUMIFS(원소정보!$D$2:$D$200,원소정보!$F$2:$F$200,AA21)&gt;0,IF(Q21&lt;SUMIFS(원소정보!$D$2:$D$200,원소정보!$F$2:$F$200,AA21)/10000,"검출한계 미만",""),""))</f>
        <v/>
      </c>
      <c r="AA21" s="19" t="str">
        <f aca="false">IF(OR(A21="",C21=""),"",A21&amp;"|"&amp;C21)</f>
        <v>Fe|Pb</v>
      </c>
      <c r="AB21" s="20" t="str">
        <f aca="false">IF(OR(AA21="",Q21=""),"",IF(COUNTIF(기준SD!$E$2:$E$500,AA21)=0,"",IF(COUNTIFS(기준SD!$E$2:$E$500,AA21,기준SD!$C$2:$C$500,"&lt;="&amp;Q21)=0,_xlfn.MINIFS(기준SD!$C$2:$C$500,기준SD!$E$2:$E$500,AA21),_xlfn.MAXIFS(기준SD!$C$2:$C$500,기준SD!$E$2:$E$500,AA21,기준SD!$C$2:$C$500,"&lt;="&amp;Q21))))</f>
        <v/>
      </c>
      <c r="AC21" s="20" t="str">
        <f aca="false">IF(AB21="","",IF(COUNTIFS(기준SD!$E$2:$E$500,AA21,기준SD!$C$2:$C$500,"&gt;="&amp;Q21)=0,_xlfn.MAXIFS(기준SD!$C$2:$C$500,기준SD!$E$2:$E$500,AA21),_xlfn.MINIFS(기준SD!$C$2:$C$500,기준SD!$E$2:$E$500,AA21,기준SD!$C$2:$C$500,"&gt;="&amp;Q21)))</f>
        <v/>
      </c>
      <c r="AD21" s="15" t="str">
        <f aca="false">IF(AB21="","",SUMIFS(기준SD!$D$2:$D$500,기준SD!$E$2:$E$500,AA21,기준SD!$C$2:$C$500,AB21))</f>
        <v/>
      </c>
      <c r="AE21" s="15" t="str">
        <f aca="false">IF(AC21="","",SUMIFS(기준SD!$D$2:$D$500,기준SD!$E$2:$E$500,AA21,기준SD!$C$2:$C$500,AC21))</f>
        <v/>
      </c>
    </row>
    <row r="22" customFormat="false" ht="15" hidden="false" customHeight="false" outlineLevel="0" collapsed="false">
      <c r="A22" s="8" t="s">
        <v>66</v>
      </c>
      <c r="B22" s="8"/>
      <c r="C22" s="8" t="s">
        <v>83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 t="n">
        <f aca="false">COUNT(F22:O22)</f>
        <v>0</v>
      </c>
      <c r="Q22" s="15" t="str">
        <f aca="false">IF(P22&lt;2,"",AVERAGE(F22:O22))</f>
        <v/>
      </c>
      <c r="R22" s="15" t="str">
        <f aca="false">IF(P22&lt;2,"",STDEV(F22:O22))</f>
        <v/>
      </c>
      <c r="S22" s="16" t="str">
        <f aca="false">IF(P22&lt;2,"",IF(Q22=0,"",R22/Q22*100))</f>
        <v/>
      </c>
      <c r="T22" s="15" t="str">
        <f aca="false">IF(AB22="","",IF(AB22=AC22,AD22,AD22+(AE22-AD22)*(Q22-AB22)/(AC22-AB22)))</f>
        <v/>
      </c>
      <c r="U22" s="16" t="str">
        <f aca="false">IF(OR(T22="",R22=""),"",IF(T22=0,"",R22/T22))</f>
        <v/>
      </c>
      <c r="V22" s="17" t="str">
        <f aca="false">IF(Q22="","",IF(T22="","기준없음",IF(R22&lt;=T22*$C$2,"합격","불합격")))</f>
        <v/>
      </c>
      <c r="W22" s="18" t="str">
        <f aca="false">IF(OR(Q22="",D22=""),"",Q22-D22)</f>
        <v/>
      </c>
      <c r="X22" s="15" t="str">
        <f aca="false">IF(W22="","",IF(E22&lt;&gt;"",E22,IF(T22="","",T22*$C$3)))</f>
        <v/>
      </c>
      <c r="Y22" s="17" t="str">
        <f aca="false">IF(OR(W22="",X22=""),"",IF(ABS(W22)&lt;=X22,"합격","불합격"))</f>
        <v/>
      </c>
      <c r="Z22" s="19" t="str">
        <f aca="false">IF(OR(AA22="",Q22=""),"",IF(AB22="","기준SD 데이터 없음 ",IF(Q22&lt;_xlfn.MINIFS(기준SD!$C$2:$C$500,기준SD!$E$2:$E$500,AA22),"최저 레벨 미만→최저 레벨 SD 적용 ",IF(Q22&gt;_xlfn.MAXIFS(기준SD!$C$2:$C$500,기준SD!$E$2:$E$500,AA22),"최고 레벨 초과→최고 레벨 SD 적용 ","")))&amp;IF(SUMIFS(원소정보!$E$2:$E$200,원소정보!$F$2:$F$200,AA22)&gt;0,IF(Q22&gt;SUMIFS(원소정보!$E$2:$E$200,원소정보!$F$2:$F$200,AA22),"검량범위 초과 ",""),"")&amp;IF(SUMIFS(원소정보!$D$2:$D$200,원소정보!$F$2:$F$200,AA22)&gt;0,IF(Q22&lt;SUMIFS(원소정보!$D$2:$D$200,원소정보!$F$2:$F$200,AA22)/10000,"검출한계 미만",""),""))</f>
        <v/>
      </c>
      <c r="AA22" s="19" t="str">
        <f aca="false">IF(OR(A22="",C22=""),"",A22&amp;"|"&amp;C22)</f>
        <v>Fe|S</v>
      </c>
      <c r="AB22" s="20" t="str">
        <f aca="false">IF(OR(AA22="",Q22=""),"",IF(COUNTIF(기준SD!$E$2:$E$500,AA22)=0,"",IF(COUNTIFS(기준SD!$E$2:$E$500,AA22,기준SD!$C$2:$C$500,"&lt;="&amp;Q22)=0,_xlfn.MINIFS(기준SD!$C$2:$C$500,기준SD!$E$2:$E$500,AA22),_xlfn.MAXIFS(기준SD!$C$2:$C$500,기준SD!$E$2:$E$500,AA22,기준SD!$C$2:$C$500,"&lt;="&amp;Q22))))</f>
        <v/>
      </c>
      <c r="AC22" s="20" t="str">
        <f aca="false">IF(AB22="","",IF(COUNTIFS(기준SD!$E$2:$E$500,AA22,기준SD!$C$2:$C$500,"&gt;="&amp;Q22)=0,_xlfn.MAXIFS(기준SD!$C$2:$C$500,기준SD!$E$2:$E$500,AA22),_xlfn.MINIFS(기준SD!$C$2:$C$500,기준SD!$E$2:$E$500,AA22,기준SD!$C$2:$C$500,"&gt;="&amp;Q22)))</f>
        <v/>
      </c>
      <c r="AD22" s="15" t="str">
        <f aca="false">IF(AB22="","",SUMIFS(기준SD!$D$2:$D$500,기준SD!$E$2:$E$500,AA22,기준SD!$C$2:$C$500,AB22))</f>
        <v/>
      </c>
      <c r="AE22" s="15" t="str">
        <f aca="false">IF(AC22="","",SUMIFS(기준SD!$D$2:$D$500,기준SD!$E$2:$E$500,AA22,기준SD!$C$2:$C$500,AC22))</f>
        <v/>
      </c>
    </row>
    <row r="23" customFormat="false" ht="15" hidden="false" customHeight="false" outlineLevel="0" collapsed="false">
      <c r="A23" s="8" t="s">
        <v>66</v>
      </c>
      <c r="B23" s="8"/>
      <c r="C23" s="8" t="s">
        <v>84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 t="n">
        <f aca="false">COUNT(F23:O23)</f>
        <v>0</v>
      </c>
      <c r="Q23" s="15" t="str">
        <f aca="false">IF(P23&lt;2,"",AVERAGE(F23:O23))</f>
        <v/>
      </c>
      <c r="R23" s="15" t="str">
        <f aca="false">IF(P23&lt;2,"",STDEV(F23:O23))</f>
        <v/>
      </c>
      <c r="S23" s="16" t="str">
        <f aca="false">IF(P23&lt;2,"",IF(Q23=0,"",R23/Q23*100))</f>
        <v/>
      </c>
      <c r="T23" s="15" t="str">
        <f aca="false">IF(AB23="","",IF(AB23=AC23,AD23,AD23+(AE23-AD23)*(Q23-AB23)/(AC23-AB23)))</f>
        <v/>
      </c>
      <c r="U23" s="16" t="str">
        <f aca="false">IF(OR(T23="",R23=""),"",IF(T23=0,"",R23/T23))</f>
        <v/>
      </c>
      <c r="V23" s="17" t="str">
        <f aca="false">IF(Q23="","",IF(T23="","기준없음",IF(R23&lt;=T23*$C$2,"합격","불합격")))</f>
        <v/>
      </c>
      <c r="W23" s="18" t="str">
        <f aca="false">IF(OR(Q23="",D23=""),"",Q23-D23)</f>
        <v/>
      </c>
      <c r="X23" s="15" t="str">
        <f aca="false">IF(W23="","",IF(E23&lt;&gt;"",E23,IF(T23="","",T23*$C$3)))</f>
        <v/>
      </c>
      <c r="Y23" s="17" t="str">
        <f aca="false">IF(OR(W23="",X23=""),"",IF(ABS(W23)&lt;=X23,"합격","불합격"))</f>
        <v/>
      </c>
      <c r="Z23" s="19" t="str">
        <f aca="false">IF(OR(AA23="",Q23=""),"",IF(AB23="","기준SD 데이터 없음 ",IF(Q23&lt;_xlfn.MINIFS(기준SD!$C$2:$C$500,기준SD!$E$2:$E$500,AA23),"최저 레벨 미만→최저 레벨 SD 적용 ",IF(Q23&gt;_xlfn.MAXIFS(기준SD!$C$2:$C$500,기준SD!$E$2:$E$500,AA23),"최고 레벨 초과→최고 레벨 SD 적용 ","")))&amp;IF(SUMIFS(원소정보!$E$2:$E$200,원소정보!$F$2:$F$200,AA23)&gt;0,IF(Q23&gt;SUMIFS(원소정보!$E$2:$E$200,원소정보!$F$2:$F$200,AA23),"검량범위 초과 ",""),"")&amp;IF(SUMIFS(원소정보!$D$2:$D$200,원소정보!$F$2:$F$200,AA23)&gt;0,IF(Q23&lt;SUMIFS(원소정보!$D$2:$D$200,원소정보!$F$2:$F$200,AA23)/10000,"검출한계 미만",""),""))</f>
        <v/>
      </c>
      <c r="AA23" s="19" t="str">
        <f aca="false">IF(OR(A23="",C23=""),"",A23&amp;"|"&amp;C23)</f>
        <v>Fe|Si</v>
      </c>
      <c r="AB23" s="20" t="str">
        <f aca="false">IF(OR(AA23="",Q23=""),"",IF(COUNTIF(기준SD!$E$2:$E$500,AA23)=0,"",IF(COUNTIFS(기준SD!$E$2:$E$500,AA23,기준SD!$C$2:$C$500,"&lt;="&amp;Q23)=0,_xlfn.MINIFS(기준SD!$C$2:$C$500,기준SD!$E$2:$E$500,AA23),_xlfn.MAXIFS(기준SD!$C$2:$C$500,기준SD!$E$2:$E$500,AA23,기준SD!$C$2:$C$500,"&lt;="&amp;Q23))))</f>
        <v/>
      </c>
      <c r="AC23" s="20" t="str">
        <f aca="false">IF(AB23="","",IF(COUNTIFS(기준SD!$E$2:$E$500,AA23,기준SD!$C$2:$C$500,"&gt;="&amp;Q23)=0,_xlfn.MAXIFS(기준SD!$C$2:$C$500,기준SD!$E$2:$E$500,AA23),_xlfn.MINIFS(기준SD!$C$2:$C$500,기준SD!$E$2:$E$500,AA23,기준SD!$C$2:$C$500,"&gt;="&amp;Q23)))</f>
        <v/>
      </c>
      <c r="AD23" s="15" t="str">
        <f aca="false">IF(AB23="","",SUMIFS(기준SD!$D$2:$D$500,기준SD!$E$2:$E$500,AA23,기준SD!$C$2:$C$500,AB23))</f>
        <v/>
      </c>
      <c r="AE23" s="15" t="str">
        <f aca="false">IF(AC23="","",SUMIFS(기준SD!$D$2:$D$500,기준SD!$E$2:$E$500,AA23,기준SD!$C$2:$C$500,AC23))</f>
        <v/>
      </c>
    </row>
    <row r="24" customFormat="false" ht="15" hidden="false" customHeight="false" outlineLevel="0" collapsed="false">
      <c r="A24" s="8" t="s">
        <v>66</v>
      </c>
      <c r="B24" s="8"/>
      <c r="C24" s="8" t="s">
        <v>85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 t="n">
        <f aca="false">COUNT(F24:O24)</f>
        <v>0</v>
      </c>
      <c r="Q24" s="15" t="str">
        <f aca="false">IF(P24&lt;2,"",AVERAGE(F24:O24))</f>
        <v/>
      </c>
      <c r="R24" s="15" t="str">
        <f aca="false">IF(P24&lt;2,"",STDEV(F24:O24))</f>
        <v/>
      </c>
      <c r="S24" s="16" t="str">
        <f aca="false">IF(P24&lt;2,"",IF(Q24=0,"",R24/Q24*100))</f>
        <v/>
      </c>
      <c r="T24" s="15" t="str">
        <f aca="false">IF(AB24="","",IF(AB24=AC24,AD24,AD24+(AE24-AD24)*(Q24-AB24)/(AC24-AB24)))</f>
        <v/>
      </c>
      <c r="U24" s="16" t="str">
        <f aca="false">IF(OR(T24="",R24=""),"",IF(T24=0,"",R24/T24))</f>
        <v/>
      </c>
      <c r="V24" s="17" t="str">
        <f aca="false">IF(Q24="","",IF(T24="","기준없음",IF(R24&lt;=T24*$C$2,"합격","불합격")))</f>
        <v/>
      </c>
      <c r="W24" s="18" t="str">
        <f aca="false">IF(OR(Q24="",D24=""),"",Q24-D24)</f>
        <v/>
      </c>
      <c r="X24" s="15" t="str">
        <f aca="false">IF(W24="","",IF(E24&lt;&gt;"",E24,IF(T24="","",T24*$C$3)))</f>
        <v/>
      </c>
      <c r="Y24" s="17" t="str">
        <f aca="false">IF(OR(W24="",X24=""),"",IF(ABS(W24)&lt;=X24,"합격","불합격"))</f>
        <v/>
      </c>
      <c r="Z24" s="19" t="str">
        <f aca="false">IF(OR(AA24="",Q24=""),"",IF(AB24="","기준SD 데이터 없음 ",IF(Q24&lt;_xlfn.MINIFS(기준SD!$C$2:$C$500,기준SD!$E$2:$E$500,AA24),"최저 레벨 미만→최저 레벨 SD 적용 ",IF(Q24&gt;_xlfn.MAXIFS(기준SD!$C$2:$C$500,기준SD!$E$2:$E$500,AA24),"최고 레벨 초과→최고 레벨 SD 적용 ","")))&amp;IF(SUMIFS(원소정보!$E$2:$E$200,원소정보!$F$2:$F$200,AA24)&gt;0,IF(Q24&gt;SUMIFS(원소정보!$E$2:$E$200,원소정보!$F$2:$F$200,AA24),"검량범위 초과 ",""),"")&amp;IF(SUMIFS(원소정보!$D$2:$D$200,원소정보!$F$2:$F$200,AA24)&gt;0,IF(Q24&lt;SUMIFS(원소정보!$D$2:$D$200,원소정보!$F$2:$F$200,AA24)/10000,"검출한계 미만",""),""))</f>
        <v/>
      </c>
      <c r="AA24" s="19" t="str">
        <f aca="false">IF(OR(A24="",C24=""),"",A24&amp;"|"&amp;C24)</f>
        <v>Fe|Sn</v>
      </c>
      <c r="AB24" s="20" t="str">
        <f aca="false">IF(OR(AA24="",Q24=""),"",IF(COUNTIF(기준SD!$E$2:$E$500,AA24)=0,"",IF(COUNTIFS(기준SD!$E$2:$E$500,AA24,기준SD!$C$2:$C$500,"&lt;="&amp;Q24)=0,_xlfn.MINIFS(기준SD!$C$2:$C$500,기준SD!$E$2:$E$500,AA24),_xlfn.MAXIFS(기준SD!$C$2:$C$500,기준SD!$E$2:$E$500,AA24,기준SD!$C$2:$C$500,"&lt;="&amp;Q24))))</f>
        <v/>
      </c>
      <c r="AC24" s="20" t="str">
        <f aca="false">IF(AB24="","",IF(COUNTIFS(기준SD!$E$2:$E$500,AA24,기준SD!$C$2:$C$500,"&gt;="&amp;Q24)=0,_xlfn.MAXIFS(기준SD!$C$2:$C$500,기준SD!$E$2:$E$500,AA24),_xlfn.MINIFS(기준SD!$C$2:$C$500,기준SD!$E$2:$E$500,AA24,기준SD!$C$2:$C$500,"&gt;="&amp;Q24)))</f>
        <v/>
      </c>
      <c r="AD24" s="15" t="str">
        <f aca="false">IF(AB24="","",SUMIFS(기준SD!$D$2:$D$500,기준SD!$E$2:$E$500,AA24,기준SD!$C$2:$C$500,AB24))</f>
        <v/>
      </c>
      <c r="AE24" s="15" t="str">
        <f aca="false">IF(AC24="","",SUMIFS(기준SD!$D$2:$D$500,기준SD!$E$2:$E$500,AA24,기준SD!$C$2:$C$500,AC24))</f>
        <v/>
      </c>
    </row>
    <row r="25" customFormat="false" ht="15" hidden="false" customHeight="false" outlineLevel="0" collapsed="false">
      <c r="A25" s="8"/>
      <c r="B25" s="8"/>
      <c r="C25" s="8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 t="n">
        <f aca="false">COUNT(F25:O25)</f>
        <v>0</v>
      </c>
      <c r="Q25" s="15" t="str">
        <f aca="false">IF(P25&lt;2,"",AVERAGE(F25:O25))</f>
        <v/>
      </c>
      <c r="R25" s="15" t="str">
        <f aca="false">IF(P25&lt;2,"",STDEV(F25:O25))</f>
        <v/>
      </c>
      <c r="S25" s="16" t="str">
        <f aca="false">IF(P25&lt;2,"",IF(Q25=0,"",R25/Q25*100))</f>
        <v/>
      </c>
      <c r="T25" s="15" t="str">
        <f aca="false">IF(AB25="","",IF(AB25=AC25,AD25,AD25+(AE25-AD25)*(Q25-AB25)/(AC25-AB25)))</f>
        <v/>
      </c>
      <c r="U25" s="16" t="str">
        <f aca="false">IF(OR(T25="",R25=""),"",IF(T25=0,"",R25/T25))</f>
        <v/>
      </c>
      <c r="V25" s="17" t="str">
        <f aca="false">IF(Q25="","",IF(T25="","기준없음",IF(R25&lt;=T25*$C$2,"합격","불합격")))</f>
        <v/>
      </c>
      <c r="W25" s="18" t="str">
        <f aca="false">IF(OR(Q25="",D25=""),"",Q25-D25)</f>
        <v/>
      </c>
      <c r="X25" s="15" t="str">
        <f aca="false">IF(W25="","",IF(E25&lt;&gt;"",E25,IF(T25="","",T25*$C$3)))</f>
        <v/>
      </c>
      <c r="Y25" s="17" t="str">
        <f aca="false">IF(OR(W25="",X25=""),"",IF(ABS(W25)&lt;=X25,"합격","불합격"))</f>
        <v/>
      </c>
      <c r="Z25" s="19" t="str">
        <f aca="false">IF(OR(AA25="",Q25=""),"",IF(AB25="","기준SD 데이터 없음 ",IF(Q25&lt;_xlfn.MINIFS(기준SD!$C$2:$C$500,기준SD!$E$2:$E$500,AA25),"최저 레벨 미만→최저 레벨 SD 적용 ",IF(Q25&gt;_xlfn.MAXIFS(기준SD!$C$2:$C$500,기준SD!$E$2:$E$500,AA25),"최고 레벨 초과→최고 레벨 SD 적용 ","")))&amp;IF(SUMIFS(원소정보!$E$2:$E$200,원소정보!$F$2:$F$200,AA25)&gt;0,IF(Q25&gt;SUMIFS(원소정보!$E$2:$E$200,원소정보!$F$2:$F$200,AA25),"검량범위 초과 ",""),"")&amp;IF(SUMIFS(원소정보!$D$2:$D$200,원소정보!$F$2:$F$200,AA25)&gt;0,IF(Q25&lt;SUMIFS(원소정보!$D$2:$D$200,원소정보!$F$2:$F$200,AA25)/10000,"검출한계 미만",""),""))</f>
        <v/>
      </c>
      <c r="AA25" s="19" t="str">
        <f aca="false">IF(OR(A25="",C25=""),"",A25&amp;"|"&amp;C25)</f>
        <v/>
      </c>
      <c r="AB25" s="20" t="str">
        <f aca="false">IF(OR(AA25="",Q25=""),"",IF(COUNTIF(기준SD!$E$2:$E$500,AA25)=0,"",IF(COUNTIFS(기준SD!$E$2:$E$500,AA25,기준SD!$C$2:$C$500,"&lt;="&amp;Q25)=0,_xlfn.MINIFS(기준SD!$C$2:$C$500,기준SD!$E$2:$E$500,AA25),_xlfn.MAXIFS(기준SD!$C$2:$C$500,기준SD!$E$2:$E$500,AA25,기준SD!$C$2:$C$500,"&lt;="&amp;Q25))))</f>
        <v/>
      </c>
      <c r="AC25" s="20" t="str">
        <f aca="false">IF(AB25="","",IF(COUNTIFS(기준SD!$E$2:$E$500,AA25,기준SD!$C$2:$C$500,"&gt;="&amp;Q25)=0,_xlfn.MAXIFS(기준SD!$C$2:$C$500,기준SD!$E$2:$E$500,AA25),_xlfn.MINIFS(기준SD!$C$2:$C$500,기준SD!$E$2:$E$500,AA25,기준SD!$C$2:$C$500,"&gt;="&amp;Q25)))</f>
        <v/>
      </c>
      <c r="AD25" s="15" t="str">
        <f aca="false">IF(AB25="","",SUMIFS(기준SD!$D$2:$D$500,기준SD!$E$2:$E$500,AA25,기준SD!$C$2:$C$500,AB25))</f>
        <v/>
      </c>
      <c r="AE25" s="15" t="str">
        <f aca="false">IF(AC25="","",SUMIFS(기준SD!$D$2:$D$500,기준SD!$E$2:$E$500,AA25,기준SD!$C$2:$C$500,AC25))</f>
        <v/>
      </c>
    </row>
    <row r="26" customFormat="false" ht="15" hidden="false" customHeight="false" outlineLevel="0" collapsed="false">
      <c r="A26" s="8"/>
      <c r="B26" s="8"/>
      <c r="C26" s="8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 t="n">
        <f aca="false">COUNT(F26:O26)</f>
        <v>0</v>
      </c>
      <c r="Q26" s="15" t="str">
        <f aca="false">IF(P26&lt;2,"",AVERAGE(F26:O26))</f>
        <v/>
      </c>
      <c r="R26" s="15" t="str">
        <f aca="false">IF(P26&lt;2,"",STDEV(F26:O26))</f>
        <v/>
      </c>
      <c r="S26" s="16" t="str">
        <f aca="false">IF(P26&lt;2,"",IF(Q26=0,"",R26/Q26*100))</f>
        <v/>
      </c>
      <c r="T26" s="15" t="str">
        <f aca="false">IF(AB26="","",IF(AB26=AC26,AD26,AD26+(AE26-AD26)*(Q26-AB26)/(AC26-AB26)))</f>
        <v/>
      </c>
      <c r="U26" s="16" t="str">
        <f aca="false">IF(OR(T26="",R26=""),"",IF(T26=0,"",R26/T26))</f>
        <v/>
      </c>
      <c r="V26" s="17" t="str">
        <f aca="false">IF(Q26="","",IF(T26="","기준없음",IF(R26&lt;=T26*$C$2,"합격","불합격")))</f>
        <v/>
      </c>
      <c r="W26" s="18" t="str">
        <f aca="false">IF(OR(Q26="",D26=""),"",Q26-D26)</f>
        <v/>
      </c>
      <c r="X26" s="15" t="str">
        <f aca="false">IF(W26="","",IF(E26&lt;&gt;"",E26,IF(T26="","",T26*$C$3)))</f>
        <v/>
      </c>
      <c r="Y26" s="17" t="str">
        <f aca="false">IF(OR(W26="",X26=""),"",IF(ABS(W26)&lt;=X26,"합격","불합격"))</f>
        <v/>
      </c>
      <c r="Z26" s="19" t="str">
        <f aca="false">IF(OR(AA26="",Q26=""),"",IF(AB26="","기준SD 데이터 없음 ",IF(Q26&lt;_xlfn.MINIFS(기준SD!$C$2:$C$500,기준SD!$E$2:$E$500,AA26),"최저 레벨 미만→최저 레벨 SD 적용 ",IF(Q26&gt;_xlfn.MAXIFS(기준SD!$C$2:$C$500,기준SD!$E$2:$E$500,AA26),"최고 레벨 초과→최고 레벨 SD 적용 ","")))&amp;IF(SUMIFS(원소정보!$E$2:$E$200,원소정보!$F$2:$F$200,AA26)&gt;0,IF(Q26&gt;SUMIFS(원소정보!$E$2:$E$200,원소정보!$F$2:$F$200,AA26),"검량범위 초과 ",""),"")&amp;IF(SUMIFS(원소정보!$D$2:$D$200,원소정보!$F$2:$F$200,AA26)&gt;0,IF(Q26&lt;SUMIFS(원소정보!$D$2:$D$200,원소정보!$F$2:$F$200,AA26)/10000,"검출한계 미만",""),""))</f>
        <v/>
      </c>
      <c r="AA26" s="19" t="str">
        <f aca="false">IF(OR(A26="",C26=""),"",A26&amp;"|"&amp;C26)</f>
        <v/>
      </c>
      <c r="AB26" s="20" t="str">
        <f aca="false">IF(OR(AA26="",Q26=""),"",IF(COUNTIF(기준SD!$E$2:$E$500,AA26)=0,"",IF(COUNTIFS(기준SD!$E$2:$E$500,AA26,기준SD!$C$2:$C$500,"&lt;="&amp;Q26)=0,_xlfn.MINIFS(기준SD!$C$2:$C$500,기준SD!$E$2:$E$500,AA26),_xlfn.MAXIFS(기준SD!$C$2:$C$500,기준SD!$E$2:$E$500,AA26,기준SD!$C$2:$C$500,"&lt;="&amp;Q26))))</f>
        <v/>
      </c>
      <c r="AC26" s="20" t="str">
        <f aca="false">IF(AB26="","",IF(COUNTIFS(기준SD!$E$2:$E$500,AA26,기준SD!$C$2:$C$500,"&gt;="&amp;Q26)=0,_xlfn.MAXIFS(기준SD!$C$2:$C$500,기준SD!$E$2:$E$500,AA26),_xlfn.MINIFS(기준SD!$C$2:$C$500,기준SD!$E$2:$E$500,AA26,기준SD!$C$2:$C$500,"&gt;="&amp;Q26)))</f>
        <v/>
      </c>
      <c r="AD26" s="15" t="str">
        <f aca="false">IF(AB26="","",SUMIFS(기준SD!$D$2:$D$500,기준SD!$E$2:$E$500,AA26,기준SD!$C$2:$C$500,AB26))</f>
        <v/>
      </c>
      <c r="AE26" s="15" t="str">
        <f aca="false">IF(AC26="","",SUMIFS(기준SD!$D$2:$D$500,기준SD!$E$2:$E$500,AA26,기준SD!$C$2:$C$500,AC26))</f>
        <v/>
      </c>
    </row>
    <row r="27" customFormat="false" ht="15" hidden="false" customHeight="false" outlineLevel="0" collapsed="false">
      <c r="A27" s="8"/>
      <c r="B27" s="8"/>
      <c r="C27" s="8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 t="n">
        <f aca="false">COUNT(F27:O27)</f>
        <v>0</v>
      </c>
      <c r="Q27" s="15" t="str">
        <f aca="false">IF(P27&lt;2,"",AVERAGE(F27:O27))</f>
        <v/>
      </c>
      <c r="R27" s="15" t="str">
        <f aca="false">IF(P27&lt;2,"",STDEV(F27:O27))</f>
        <v/>
      </c>
      <c r="S27" s="16" t="str">
        <f aca="false">IF(P27&lt;2,"",IF(Q27=0,"",R27/Q27*100))</f>
        <v/>
      </c>
      <c r="T27" s="15" t="str">
        <f aca="false">IF(AB27="","",IF(AB27=AC27,AD27,AD27+(AE27-AD27)*(Q27-AB27)/(AC27-AB27)))</f>
        <v/>
      </c>
      <c r="U27" s="16" t="str">
        <f aca="false">IF(OR(T27="",R27=""),"",IF(T27=0,"",R27/T27))</f>
        <v/>
      </c>
      <c r="V27" s="17" t="str">
        <f aca="false">IF(Q27="","",IF(T27="","기준없음",IF(R27&lt;=T27*$C$2,"합격","불합격")))</f>
        <v/>
      </c>
      <c r="W27" s="18" t="str">
        <f aca="false">IF(OR(Q27="",D27=""),"",Q27-D27)</f>
        <v/>
      </c>
      <c r="X27" s="15" t="str">
        <f aca="false">IF(W27="","",IF(E27&lt;&gt;"",E27,IF(T27="","",T27*$C$3)))</f>
        <v/>
      </c>
      <c r="Y27" s="17" t="str">
        <f aca="false">IF(OR(W27="",X27=""),"",IF(ABS(W27)&lt;=X27,"합격","불합격"))</f>
        <v/>
      </c>
      <c r="Z27" s="19" t="str">
        <f aca="false">IF(OR(AA27="",Q27=""),"",IF(AB27="","기준SD 데이터 없음 ",IF(Q27&lt;_xlfn.MINIFS(기준SD!$C$2:$C$500,기준SD!$E$2:$E$500,AA27),"최저 레벨 미만→최저 레벨 SD 적용 ",IF(Q27&gt;_xlfn.MAXIFS(기준SD!$C$2:$C$500,기준SD!$E$2:$E$500,AA27),"최고 레벨 초과→최고 레벨 SD 적용 ","")))&amp;IF(SUMIFS(원소정보!$E$2:$E$200,원소정보!$F$2:$F$200,AA27)&gt;0,IF(Q27&gt;SUMIFS(원소정보!$E$2:$E$200,원소정보!$F$2:$F$200,AA27),"검량범위 초과 ",""),"")&amp;IF(SUMIFS(원소정보!$D$2:$D$200,원소정보!$F$2:$F$200,AA27)&gt;0,IF(Q27&lt;SUMIFS(원소정보!$D$2:$D$200,원소정보!$F$2:$F$200,AA27)/10000,"검출한계 미만",""),""))</f>
        <v/>
      </c>
      <c r="AA27" s="19" t="str">
        <f aca="false">IF(OR(A27="",C27=""),"",A27&amp;"|"&amp;C27)</f>
        <v/>
      </c>
      <c r="AB27" s="20" t="str">
        <f aca="false">IF(OR(AA27="",Q27=""),"",IF(COUNTIF(기준SD!$E$2:$E$500,AA27)=0,"",IF(COUNTIFS(기준SD!$E$2:$E$500,AA27,기준SD!$C$2:$C$500,"&lt;="&amp;Q27)=0,_xlfn.MINIFS(기준SD!$C$2:$C$500,기준SD!$E$2:$E$500,AA27),_xlfn.MAXIFS(기준SD!$C$2:$C$500,기준SD!$E$2:$E$500,AA27,기준SD!$C$2:$C$500,"&lt;="&amp;Q27))))</f>
        <v/>
      </c>
      <c r="AC27" s="20" t="str">
        <f aca="false">IF(AB27="","",IF(COUNTIFS(기준SD!$E$2:$E$500,AA27,기준SD!$C$2:$C$500,"&gt;="&amp;Q27)=0,_xlfn.MAXIFS(기준SD!$C$2:$C$500,기준SD!$E$2:$E$500,AA27),_xlfn.MINIFS(기준SD!$C$2:$C$500,기준SD!$E$2:$E$500,AA27,기준SD!$C$2:$C$500,"&gt;="&amp;Q27)))</f>
        <v/>
      </c>
      <c r="AD27" s="15" t="str">
        <f aca="false">IF(AB27="","",SUMIFS(기준SD!$D$2:$D$500,기준SD!$E$2:$E$500,AA27,기준SD!$C$2:$C$500,AB27))</f>
        <v/>
      </c>
      <c r="AE27" s="15" t="str">
        <f aca="false">IF(AC27="","",SUMIFS(기준SD!$D$2:$D$500,기준SD!$E$2:$E$500,AA27,기준SD!$C$2:$C$500,AC27))</f>
        <v/>
      </c>
    </row>
    <row r="28" customFormat="false" ht="15" hidden="false" customHeight="false" outlineLevel="0" collapsed="false">
      <c r="A28" s="8"/>
      <c r="B28" s="8"/>
      <c r="C28" s="8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 t="n">
        <f aca="false">COUNT(F28:O28)</f>
        <v>0</v>
      </c>
      <c r="Q28" s="15" t="str">
        <f aca="false">IF(P28&lt;2,"",AVERAGE(F28:O28))</f>
        <v/>
      </c>
      <c r="R28" s="15" t="str">
        <f aca="false">IF(P28&lt;2,"",STDEV(F28:O28))</f>
        <v/>
      </c>
      <c r="S28" s="16" t="str">
        <f aca="false">IF(P28&lt;2,"",IF(Q28=0,"",R28/Q28*100))</f>
        <v/>
      </c>
      <c r="T28" s="15" t="str">
        <f aca="false">IF(AB28="","",IF(AB28=AC28,AD28,AD28+(AE28-AD28)*(Q28-AB28)/(AC28-AB28)))</f>
        <v/>
      </c>
      <c r="U28" s="16" t="str">
        <f aca="false">IF(OR(T28="",R28=""),"",IF(T28=0,"",R28/T28))</f>
        <v/>
      </c>
      <c r="V28" s="17" t="str">
        <f aca="false">IF(Q28="","",IF(T28="","기준없음",IF(R28&lt;=T28*$C$2,"합격","불합격")))</f>
        <v/>
      </c>
      <c r="W28" s="18" t="str">
        <f aca="false">IF(OR(Q28="",D28=""),"",Q28-D28)</f>
        <v/>
      </c>
      <c r="X28" s="15" t="str">
        <f aca="false">IF(W28="","",IF(E28&lt;&gt;"",E28,IF(T28="","",T28*$C$3)))</f>
        <v/>
      </c>
      <c r="Y28" s="17" t="str">
        <f aca="false">IF(OR(W28="",X28=""),"",IF(ABS(W28)&lt;=X28,"합격","불합격"))</f>
        <v/>
      </c>
      <c r="Z28" s="19" t="str">
        <f aca="false">IF(OR(AA28="",Q28=""),"",IF(AB28="","기준SD 데이터 없음 ",IF(Q28&lt;_xlfn.MINIFS(기준SD!$C$2:$C$500,기준SD!$E$2:$E$500,AA28),"최저 레벨 미만→최저 레벨 SD 적용 ",IF(Q28&gt;_xlfn.MAXIFS(기준SD!$C$2:$C$500,기준SD!$E$2:$E$500,AA28),"최고 레벨 초과→최고 레벨 SD 적용 ","")))&amp;IF(SUMIFS(원소정보!$E$2:$E$200,원소정보!$F$2:$F$200,AA28)&gt;0,IF(Q28&gt;SUMIFS(원소정보!$E$2:$E$200,원소정보!$F$2:$F$200,AA28),"검량범위 초과 ",""),"")&amp;IF(SUMIFS(원소정보!$D$2:$D$200,원소정보!$F$2:$F$200,AA28)&gt;0,IF(Q28&lt;SUMIFS(원소정보!$D$2:$D$200,원소정보!$F$2:$F$200,AA28)/10000,"검출한계 미만",""),""))</f>
        <v/>
      </c>
      <c r="AA28" s="19" t="str">
        <f aca="false">IF(OR(A28="",C28=""),"",A28&amp;"|"&amp;C28)</f>
        <v/>
      </c>
      <c r="AB28" s="20" t="str">
        <f aca="false">IF(OR(AA28="",Q28=""),"",IF(COUNTIF(기준SD!$E$2:$E$500,AA28)=0,"",IF(COUNTIFS(기준SD!$E$2:$E$500,AA28,기준SD!$C$2:$C$500,"&lt;="&amp;Q28)=0,_xlfn.MINIFS(기준SD!$C$2:$C$500,기준SD!$E$2:$E$500,AA28),_xlfn.MAXIFS(기준SD!$C$2:$C$500,기준SD!$E$2:$E$500,AA28,기준SD!$C$2:$C$500,"&lt;="&amp;Q28))))</f>
        <v/>
      </c>
      <c r="AC28" s="20" t="str">
        <f aca="false">IF(AB28="","",IF(COUNTIFS(기준SD!$E$2:$E$500,AA28,기준SD!$C$2:$C$500,"&gt;="&amp;Q28)=0,_xlfn.MAXIFS(기준SD!$C$2:$C$500,기준SD!$E$2:$E$500,AA28),_xlfn.MINIFS(기준SD!$C$2:$C$500,기준SD!$E$2:$E$500,AA28,기준SD!$C$2:$C$500,"&gt;="&amp;Q28)))</f>
        <v/>
      </c>
      <c r="AD28" s="15" t="str">
        <f aca="false">IF(AB28="","",SUMIFS(기준SD!$D$2:$D$500,기준SD!$E$2:$E$500,AA28,기준SD!$C$2:$C$500,AB28))</f>
        <v/>
      </c>
      <c r="AE28" s="15" t="str">
        <f aca="false">IF(AC28="","",SUMIFS(기준SD!$D$2:$D$500,기준SD!$E$2:$E$500,AA28,기준SD!$C$2:$C$500,AC28))</f>
        <v/>
      </c>
    </row>
    <row r="29" customFormat="false" ht="15" hidden="false" customHeight="false" outlineLevel="0" collapsed="false">
      <c r="A29" s="8"/>
      <c r="B29" s="8"/>
      <c r="C29" s="8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 t="n">
        <f aca="false">COUNT(F29:O29)</f>
        <v>0</v>
      </c>
      <c r="Q29" s="15" t="str">
        <f aca="false">IF(P29&lt;2,"",AVERAGE(F29:O29))</f>
        <v/>
      </c>
      <c r="R29" s="15" t="str">
        <f aca="false">IF(P29&lt;2,"",STDEV(F29:O29))</f>
        <v/>
      </c>
      <c r="S29" s="16" t="str">
        <f aca="false">IF(P29&lt;2,"",IF(Q29=0,"",R29/Q29*100))</f>
        <v/>
      </c>
      <c r="T29" s="15" t="str">
        <f aca="false">IF(AB29="","",IF(AB29=AC29,AD29,AD29+(AE29-AD29)*(Q29-AB29)/(AC29-AB29)))</f>
        <v/>
      </c>
      <c r="U29" s="16" t="str">
        <f aca="false">IF(OR(T29="",R29=""),"",IF(T29=0,"",R29/T29))</f>
        <v/>
      </c>
      <c r="V29" s="17" t="str">
        <f aca="false">IF(Q29="","",IF(T29="","기준없음",IF(R29&lt;=T29*$C$2,"합격","불합격")))</f>
        <v/>
      </c>
      <c r="W29" s="18" t="str">
        <f aca="false">IF(OR(Q29="",D29=""),"",Q29-D29)</f>
        <v/>
      </c>
      <c r="X29" s="15" t="str">
        <f aca="false">IF(W29="","",IF(E29&lt;&gt;"",E29,IF(T29="","",T29*$C$3)))</f>
        <v/>
      </c>
      <c r="Y29" s="17" t="str">
        <f aca="false">IF(OR(W29="",X29=""),"",IF(ABS(W29)&lt;=X29,"합격","불합격"))</f>
        <v/>
      </c>
      <c r="Z29" s="19" t="str">
        <f aca="false">IF(OR(AA29="",Q29=""),"",IF(AB29="","기준SD 데이터 없음 ",IF(Q29&lt;_xlfn.MINIFS(기준SD!$C$2:$C$500,기준SD!$E$2:$E$500,AA29),"최저 레벨 미만→최저 레벨 SD 적용 ",IF(Q29&gt;_xlfn.MAXIFS(기준SD!$C$2:$C$500,기준SD!$E$2:$E$500,AA29),"최고 레벨 초과→최고 레벨 SD 적용 ","")))&amp;IF(SUMIFS(원소정보!$E$2:$E$200,원소정보!$F$2:$F$200,AA29)&gt;0,IF(Q29&gt;SUMIFS(원소정보!$E$2:$E$200,원소정보!$F$2:$F$200,AA29),"검량범위 초과 ",""),"")&amp;IF(SUMIFS(원소정보!$D$2:$D$200,원소정보!$F$2:$F$200,AA29)&gt;0,IF(Q29&lt;SUMIFS(원소정보!$D$2:$D$200,원소정보!$F$2:$F$200,AA29)/10000,"검출한계 미만",""),""))</f>
        <v/>
      </c>
      <c r="AA29" s="19" t="str">
        <f aca="false">IF(OR(A29="",C29=""),"",A29&amp;"|"&amp;C29)</f>
        <v/>
      </c>
      <c r="AB29" s="20" t="str">
        <f aca="false">IF(OR(AA29="",Q29=""),"",IF(COUNTIF(기준SD!$E$2:$E$500,AA29)=0,"",IF(COUNTIFS(기준SD!$E$2:$E$500,AA29,기준SD!$C$2:$C$500,"&lt;="&amp;Q29)=0,_xlfn.MINIFS(기준SD!$C$2:$C$500,기준SD!$E$2:$E$500,AA29),_xlfn.MAXIFS(기준SD!$C$2:$C$500,기준SD!$E$2:$E$500,AA29,기준SD!$C$2:$C$500,"&lt;="&amp;Q29))))</f>
        <v/>
      </c>
      <c r="AC29" s="20" t="str">
        <f aca="false">IF(AB29="","",IF(COUNTIFS(기준SD!$E$2:$E$500,AA29,기준SD!$C$2:$C$500,"&gt;="&amp;Q29)=0,_xlfn.MAXIFS(기준SD!$C$2:$C$500,기준SD!$E$2:$E$500,AA29),_xlfn.MINIFS(기준SD!$C$2:$C$500,기준SD!$E$2:$E$500,AA29,기준SD!$C$2:$C$500,"&gt;="&amp;Q29)))</f>
        <v/>
      </c>
      <c r="AD29" s="15" t="str">
        <f aca="false">IF(AB29="","",SUMIFS(기준SD!$D$2:$D$500,기준SD!$E$2:$E$500,AA29,기준SD!$C$2:$C$500,AB29))</f>
        <v/>
      </c>
      <c r="AE29" s="15" t="str">
        <f aca="false">IF(AC29="","",SUMIFS(기준SD!$D$2:$D$500,기준SD!$E$2:$E$500,AA29,기준SD!$C$2:$C$500,AC29))</f>
        <v/>
      </c>
    </row>
    <row r="30" customFormat="false" ht="15" hidden="false" customHeight="false" outlineLevel="0" collapsed="false">
      <c r="A30" s="8"/>
      <c r="B30" s="8"/>
      <c r="C30" s="8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 t="n">
        <f aca="false">COUNT(F30:O30)</f>
        <v>0</v>
      </c>
      <c r="Q30" s="15" t="str">
        <f aca="false">IF(P30&lt;2,"",AVERAGE(F30:O30))</f>
        <v/>
      </c>
      <c r="R30" s="15" t="str">
        <f aca="false">IF(P30&lt;2,"",STDEV(F30:O30))</f>
        <v/>
      </c>
      <c r="S30" s="16" t="str">
        <f aca="false">IF(P30&lt;2,"",IF(Q30=0,"",R30/Q30*100))</f>
        <v/>
      </c>
      <c r="T30" s="15" t="str">
        <f aca="false">IF(AB30="","",IF(AB30=AC30,AD30,AD30+(AE30-AD30)*(Q30-AB30)/(AC30-AB30)))</f>
        <v/>
      </c>
      <c r="U30" s="16" t="str">
        <f aca="false">IF(OR(T30="",R30=""),"",IF(T30=0,"",R30/T30))</f>
        <v/>
      </c>
      <c r="V30" s="17" t="str">
        <f aca="false">IF(Q30="","",IF(T30="","기준없음",IF(R30&lt;=T30*$C$2,"합격","불합격")))</f>
        <v/>
      </c>
      <c r="W30" s="18" t="str">
        <f aca="false">IF(OR(Q30="",D30=""),"",Q30-D30)</f>
        <v/>
      </c>
      <c r="X30" s="15" t="str">
        <f aca="false">IF(W30="","",IF(E30&lt;&gt;"",E30,IF(T30="","",T30*$C$3)))</f>
        <v/>
      </c>
      <c r="Y30" s="17" t="str">
        <f aca="false">IF(OR(W30="",X30=""),"",IF(ABS(W30)&lt;=X30,"합격","불합격"))</f>
        <v/>
      </c>
      <c r="Z30" s="19" t="str">
        <f aca="false">IF(OR(AA30="",Q30=""),"",IF(AB30="","기준SD 데이터 없음 ",IF(Q30&lt;_xlfn.MINIFS(기준SD!$C$2:$C$500,기준SD!$E$2:$E$500,AA30),"최저 레벨 미만→최저 레벨 SD 적용 ",IF(Q30&gt;_xlfn.MAXIFS(기준SD!$C$2:$C$500,기준SD!$E$2:$E$500,AA30),"최고 레벨 초과→최고 레벨 SD 적용 ","")))&amp;IF(SUMIFS(원소정보!$E$2:$E$200,원소정보!$F$2:$F$200,AA30)&gt;0,IF(Q30&gt;SUMIFS(원소정보!$E$2:$E$200,원소정보!$F$2:$F$200,AA30),"검량범위 초과 ",""),"")&amp;IF(SUMIFS(원소정보!$D$2:$D$200,원소정보!$F$2:$F$200,AA30)&gt;0,IF(Q30&lt;SUMIFS(원소정보!$D$2:$D$200,원소정보!$F$2:$F$200,AA30)/10000,"검출한계 미만",""),""))</f>
        <v/>
      </c>
      <c r="AA30" s="19" t="str">
        <f aca="false">IF(OR(A30="",C30=""),"",A30&amp;"|"&amp;C30)</f>
        <v/>
      </c>
      <c r="AB30" s="20" t="str">
        <f aca="false">IF(OR(AA30="",Q30=""),"",IF(COUNTIF(기준SD!$E$2:$E$500,AA30)=0,"",IF(COUNTIFS(기준SD!$E$2:$E$500,AA30,기준SD!$C$2:$C$500,"&lt;="&amp;Q30)=0,_xlfn.MINIFS(기준SD!$C$2:$C$500,기준SD!$E$2:$E$500,AA30),_xlfn.MAXIFS(기준SD!$C$2:$C$500,기준SD!$E$2:$E$500,AA30,기준SD!$C$2:$C$500,"&lt;="&amp;Q30))))</f>
        <v/>
      </c>
      <c r="AC30" s="20" t="str">
        <f aca="false">IF(AB30="","",IF(COUNTIFS(기준SD!$E$2:$E$500,AA30,기준SD!$C$2:$C$500,"&gt;="&amp;Q30)=0,_xlfn.MAXIFS(기준SD!$C$2:$C$500,기준SD!$E$2:$E$500,AA30),_xlfn.MINIFS(기준SD!$C$2:$C$500,기준SD!$E$2:$E$500,AA30,기준SD!$C$2:$C$500,"&gt;="&amp;Q30)))</f>
        <v/>
      </c>
      <c r="AD30" s="15" t="str">
        <f aca="false">IF(AB30="","",SUMIFS(기준SD!$D$2:$D$500,기준SD!$E$2:$E$500,AA30,기준SD!$C$2:$C$500,AB30))</f>
        <v/>
      </c>
      <c r="AE30" s="15" t="str">
        <f aca="false">IF(AC30="","",SUMIFS(기준SD!$D$2:$D$500,기준SD!$E$2:$E$500,AA30,기준SD!$C$2:$C$500,AC30))</f>
        <v/>
      </c>
    </row>
    <row r="31" customFormat="false" ht="15" hidden="false" customHeight="false" outlineLevel="0" collapsed="false">
      <c r="A31" s="8"/>
      <c r="B31" s="8"/>
      <c r="C31" s="8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4" t="n">
        <f aca="false">COUNT(F31:O31)</f>
        <v>0</v>
      </c>
      <c r="Q31" s="15" t="str">
        <f aca="false">IF(P31&lt;2,"",AVERAGE(F31:O31))</f>
        <v/>
      </c>
      <c r="R31" s="15" t="str">
        <f aca="false">IF(P31&lt;2,"",STDEV(F31:O31))</f>
        <v/>
      </c>
      <c r="S31" s="16" t="str">
        <f aca="false">IF(P31&lt;2,"",IF(Q31=0,"",R31/Q31*100))</f>
        <v/>
      </c>
      <c r="T31" s="15" t="str">
        <f aca="false">IF(AB31="","",IF(AB31=AC31,AD31,AD31+(AE31-AD31)*(Q31-AB31)/(AC31-AB31)))</f>
        <v/>
      </c>
      <c r="U31" s="16" t="str">
        <f aca="false">IF(OR(T31="",R31=""),"",IF(T31=0,"",R31/T31))</f>
        <v/>
      </c>
      <c r="V31" s="17" t="str">
        <f aca="false">IF(Q31="","",IF(T31="","기준없음",IF(R31&lt;=T31*$C$2,"합격","불합격")))</f>
        <v/>
      </c>
      <c r="W31" s="18" t="str">
        <f aca="false">IF(OR(Q31="",D31=""),"",Q31-D31)</f>
        <v/>
      </c>
      <c r="X31" s="15" t="str">
        <f aca="false">IF(W31="","",IF(E31&lt;&gt;"",E31,IF(T31="","",T31*$C$3)))</f>
        <v/>
      </c>
      <c r="Y31" s="17" t="str">
        <f aca="false">IF(OR(W31="",X31=""),"",IF(ABS(W31)&lt;=X31,"합격","불합격"))</f>
        <v/>
      </c>
      <c r="Z31" s="19" t="str">
        <f aca="false">IF(OR(AA31="",Q31=""),"",IF(AB31="","기준SD 데이터 없음 ",IF(Q31&lt;_xlfn.MINIFS(기준SD!$C$2:$C$500,기준SD!$E$2:$E$500,AA31),"최저 레벨 미만→최저 레벨 SD 적용 ",IF(Q31&gt;_xlfn.MAXIFS(기준SD!$C$2:$C$500,기준SD!$E$2:$E$500,AA31),"최고 레벨 초과→최고 레벨 SD 적용 ","")))&amp;IF(SUMIFS(원소정보!$E$2:$E$200,원소정보!$F$2:$F$200,AA31)&gt;0,IF(Q31&gt;SUMIFS(원소정보!$E$2:$E$200,원소정보!$F$2:$F$200,AA31),"검량범위 초과 ",""),"")&amp;IF(SUMIFS(원소정보!$D$2:$D$200,원소정보!$F$2:$F$200,AA31)&gt;0,IF(Q31&lt;SUMIFS(원소정보!$D$2:$D$200,원소정보!$F$2:$F$200,AA31)/10000,"검출한계 미만",""),""))</f>
        <v/>
      </c>
      <c r="AA31" s="19" t="str">
        <f aca="false">IF(OR(A31="",C31=""),"",A31&amp;"|"&amp;C31)</f>
        <v/>
      </c>
      <c r="AB31" s="20" t="str">
        <f aca="false">IF(OR(AA31="",Q31=""),"",IF(COUNTIF(기준SD!$E$2:$E$500,AA31)=0,"",IF(COUNTIFS(기준SD!$E$2:$E$500,AA31,기준SD!$C$2:$C$500,"&lt;="&amp;Q31)=0,_xlfn.MINIFS(기준SD!$C$2:$C$500,기준SD!$E$2:$E$500,AA31),_xlfn.MAXIFS(기준SD!$C$2:$C$500,기준SD!$E$2:$E$500,AA31,기준SD!$C$2:$C$500,"&lt;="&amp;Q31))))</f>
        <v/>
      </c>
      <c r="AC31" s="20" t="str">
        <f aca="false">IF(AB31="","",IF(COUNTIFS(기준SD!$E$2:$E$500,AA31,기준SD!$C$2:$C$500,"&gt;="&amp;Q31)=0,_xlfn.MAXIFS(기준SD!$C$2:$C$500,기준SD!$E$2:$E$500,AA31),_xlfn.MINIFS(기준SD!$C$2:$C$500,기준SD!$E$2:$E$500,AA31,기준SD!$C$2:$C$500,"&gt;="&amp;Q31)))</f>
        <v/>
      </c>
      <c r="AD31" s="15" t="str">
        <f aca="false">IF(AB31="","",SUMIFS(기준SD!$D$2:$D$500,기준SD!$E$2:$E$500,AA31,기준SD!$C$2:$C$500,AB31))</f>
        <v/>
      </c>
      <c r="AE31" s="15" t="str">
        <f aca="false">IF(AC31="","",SUMIFS(기준SD!$D$2:$D$500,기준SD!$E$2:$E$500,AA31,기준SD!$C$2:$C$500,AC31))</f>
        <v/>
      </c>
    </row>
    <row r="32" customFormat="false" ht="15" hidden="false" customHeight="false" outlineLevel="0" collapsed="false">
      <c r="A32" s="8"/>
      <c r="B32" s="8"/>
      <c r="C32" s="8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 t="n">
        <f aca="false">COUNT(F32:O32)</f>
        <v>0</v>
      </c>
      <c r="Q32" s="15" t="str">
        <f aca="false">IF(P32&lt;2,"",AVERAGE(F32:O32))</f>
        <v/>
      </c>
      <c r="R32" s="15" t="str">
        <f aca="false">IF(P32&lt;2,"",STDEV(F32:O32))</f>
        <v/>
      </c>
      <c r="S32" s="16" t="str">
        <f aca="false">IF(P32&lt;2,"",IF(Q32=0,"",R32/Q32*100))</f>
        <v/>
      </c>
      <c r="T32" s="15" t="str">
        <f aca="false">IF(AB32="","",IF(AB32=AC32,AD32,AD32+(AE32-AD32)*(Q32-AB32)/(AC32-AB32)))</f>
        <v/>
      </c>
      <c r="U32" s="16" t="str">
        <f aca="false">IF(OR(T32="",R32=""),"",IF(T32=0,"",R32/T32))</f>
        <v/>
      </c>
      <c r="V32" s="17" t="str">
        <f aca="false">IF(Q32="","",IF(T32="","기준없음",IF(R32&lt;=T32*$C$2,"합격","불합격")))</f>
        <v/>
      </c>
      <c r="W32" s="18" t="str">
        <f aca="false">IF(OR(Q32="",D32=""),"",Q32-D32)</f>
        <v/>
      </c>
      <c r="X32" s="15" t="str">
        <f aca="false">IF(W32="","",IF(E32&lt;&gt;"",E32,IF(T32="","",T32*$C$3)))</f>
        <v/>
      </c>
      <c r="Y32" s="17" t="str">
        <f aca="false">IF(OR(W32="",X32=""),"",IF(ABS(W32)&lt;=X32,"합격","불합격"))</f>
        <v/>
      </c>
      <c r="Z32" s="19" t="str">
        <f aca="false">IF(OR(AA32="",Q32=""),"",IF(AB32="","기준SD 데이터 없음 ",IF(Q32&lt;_xlfn.MINIFS(기준SD!$C$2:$C$500,기준SD!$E$2:$E$500,AA32),"최저 레벨 미만→최저 레벨 SD 적용 ",IF(Q32&gt;_xlfn.MAXIFS(기준SD!$C$2:$C$500,기준SD!$E$2:$E$500,AA32),"최고 레벨 초과→최고 레벨 SD 적용 ","")))&amp;IF(SUMIFS(원소정보!$E$2:$E$200,원소정보!$F$2:$F$200,AA32)&gt;0,IF(Q32&gt;SUMIFS(원소정보!$E$2:$E$200,원소정보!$F$2:$F$200,AA32),"검량범위 초과 ",""),"")&amp;IF(SUMIFS(원소정보!$D$2:$D$200,원소정보!$F$2:$F$200,AA32)&gt;0,IF(Q32&lt;SUMIFS(원소정보!$D$2:$D$200,원소정보!$F$2:$F$200,AA32)/10000,"검출한계 미만",""),""))</f>
        <v/>
      </c>
      <c r="AA32" s="19" t="str">
        <f aca="false">IF(OR(A32="",C32=""),"",A32&amp;"|"&amp;C32)</f>
        <v/>
      </c>
      <c r="AB32" s="20" t="str">
        <f aca="false">IF(OR(AA32="",Q32=""),"",IF(COUNTIF(기준SD!$E$2:$E$500,AA32)=0,"",IF(COUNTIFS(기준SD!$E$2:$E$500,AA32,기준SD!$C$2:$C$500,"&lt;="&amp;Q32)=0,_xlfn.MINIFS(기준SD!$C$2:$C$500,기준SD!$E$2:$E$500,AA32),_xlfn.MAXIFS(기준SD!$C$2:$C$500,기준SD!$E$2:$E$500,AA32,기준SD!$C$2:$C$500,"&lt;="&amp;Q32))))</f>
        <v/>
      </c>
      <c r="AC32" s="20" t="str">
        <f aca="false">IF(AB32="","",IF(COUNTIFS(기준SD!$E$2:$E$500,AA32,기준SD!$C$2:$C$500,"&gt;="&amp;Q32)=0,_xlfn.MAXIFS(기준SD!$C$2:$C$500,기준SD!$E$2:$E$500,AA32),_xlfn.MINIFS(기준SD!$C$2:$C$500,기준SD!$E$2:$E$500,AA32,기준SD!$C$2:$C$500,"&gt;="&amp;Q32)))</f>
        <v/>
      </c>
      <c r="AD32" s="15" t="str">
        <f aca="false">IF(AB32="","",SUMIFS(기준SD!$D$2:$D$500,기준SD!$E$2:$E$500,AA32,기준SD!$C$2:$C$500,AB32))</f>
        <v/>
      </c>
      <c r="AE32" s="15" t="str">
        <f aca="false">IF(AC32="","",SUMIFS(기준SD!$D$2:$D$500,기준SD!$E$2:$E$500,AA32,기준SD!$C$2:$C$500,AC32))</f>
        <v/>
      </c>
    </row>
    <row r="33" customFormat="false" ht="15" hidden="false" customHeight="false" outlineLevel="0" collapsed="false">
      <c r="A33" s="8"/>
      <c r="B33" s="8"/>
      <c r="C33" s="8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4" t="n">
        <f aca="false">COUNT(F33:O33)</f>
        <v>0</v>
      </c>
      <c r="Q33" s="15" t="str">
        <f aca="false">IF(P33&lt;2,"",AVERAGE(F33:O33))</f>
        <v/>
      </c>
      <c r="R33" s="15" t="str">
        <f aca="false">IF(P33&lt;2,"",STDEV(F33:O33))</f>
        <v/>
      </c>
      <c r="S33" s="16" t="str">
        <f aca="false">IF(P33&lt;2,"",IF(Q33=0,"",R33/Q33*100))</f>
        <v/>
      </c>
      <c r="T33" s="15" t="str">
        <f aca="false">IF(AB33="","",IF(AB33=AC33,AD33,AD33+(AE33-AD33)*(Q33-AB33)/(AC33-AB33)))</f>
        <v/>
      </c>
      <c r="U33" s="16" t="str">
        <f aca="false">IF(OR(T33="",R33=""),"",IF(T33=0,"",R33/T33))</f>
        <v/>
      </c>
      <c r="V33" s="17" t="str">
        <f aca="false">IF(Q33="","",IF(T33="","기준없음",IF(R33&lt;=T33*$C$2,"합격","불합격")))</f>
        <v/>
      </c>
      <c r="W33" s="18" t="str">
        <f aca="false">IF(OR(Q33="",D33=""),"",Q33-D33)</f>
        <v/>
      </c>
      <c r="X33" s="15" t="str">
        <f aca="false">IF(W33="","",IF(E33&lt;&gt;"",E33,IF(T33="","",T33*$C$3)))</f>
        <v/>
      </c>
      <c r="Y33" s="17" t="str">
        <f aca="false">IF(OR(W33="",X33=""),"",IF(ABS(W33)&lt;=X33,"합격","불합격"))</f>
        <v/>
      </c>
      <c r="Z33" s="19" t="str">
        <f aca="false">IF(OR(AA33="",Q33=""),"",IF(AB33="","기준SD 데이터 없음 ",IF(Q33&lt;_xlfn.MINIFS(기준SD!$C$2:$C$500,기준SD!$E$2:$E$500,AA33),"최저 레벨 미만→최저 레벨 SD 적용 ",IF(Q33&gt;_xlfn.MAXIFS(기준SD!$C$2:$C$500,기준SD!$E$2:$E$500,AA33),"최고 레벨 초과→최고 레벨 SD 적용 ","")))&amp;IF(SUMIFS(원소정보!$E$2:$E$200,원소정보!$F$2:$F$200,AA33)&gt;0,IF(Q33&gt;SUMIFS(원소정보!$E$2:$E$200,원소정보!$F$2:$F$200,AA33),"검량범위 초과 ",""),"")&amp;IF(SUMIFS(원소정보!$D$2:$D$200,원소정보!$F$2:$F$200,AA33)&gt;0,IF(Q33&lt;SUMIFS(원소정보!$D$2:$D$200,원소정보!$F$2:$F$200,AA33)/10000,"검출한계 미만",""),""))</f>
        <v/>
      </c>
      <c r="AA33" s="19" t="str">
        <f aca="false">IF(OR(A33="",C33=""),"",A33&amp;"|"&amp;C33)</f>
        <v/>
      </c>
      <c r="AB33" s="20" t="str">
        <f aca="false">IF(OR(AA33="",Q33=""),"",IF(COUNTIF(기준SD!$E$2:$E$500,AA33)=0,"",IF(COUNTIFS(기준SD!$E$2:$E$500,AA33,기준SD!$C$2:$C$500,"&lt;="&amp;Q33)=0,_xlfn.MINIFS(기준SD!$C$2:$C$500,기준SD!$E$2:$E$500,AA33),_xlfn.MAXIFS(기준SD!$C$2:$C$500,기준SD!$E$2:$E$500,AA33,기준SD!$C$2:$C$500,"&lt;="&amp;Q33))))</f>
        <v/>
      </c>
      <c r="AC33" s="20" t="str">
        <f aca="false">IF(AB33="","",IF(COUNTIFS(기준SD!$E$2:$E$500,AA33,기준SD!$C$2:$C$500,"&gt;="&amp;Q33)=0,_xlfn.MAXIFS(기준SD!$C$2:$C$500,기준SD!$E$2:$E$500,AA33),_xlfn.MINIFS(기준SD!$C$2:$C$500,기준SD!$E$2:$E$500,AA33,기준SD!$C$2:$C$500,"&gt;="&amp;Q33)))</f>
        <v/>
      </c>
      <c r="AD33" s="15" t="str">
        <f aca="false">IF(AB33="","",SUMIFS(기준SD!$D$2:$D$500,기준SD!$E$2:$E$500,AA33,기준SD!$C$2:$C$500,AB33))</f>
        <v/>
      </c>
      <c r="AE33" s="15" t="str">
        <f aca="false">IF(AC33="","",SUMIFS(기준SD!$D$2:$D$500,기준SD!$E$2:$E$500,AA33,기준SD!$C$2:$C$500,AC33))</f>
        <v/>
      </c>
    </row>
    <row r="34" customFormat="false" ht="15" hidden="false" customHeight="false" outlineLevel="0" collapsed="false">
      <c r="A34" s="8"/>
      <c r="B34" s="8"/>
      <c r="C34" s="8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 t="n">
        <f aca="false">COUNT(F34:O34)</f>
        <v>0</v>
      </c>
      <c r="Q34" s="15" t="str">
        <f aca="false">IF(P34&lt;2,"",AVERAGE(F34:O34))</f>
        <v/>
      </c>
      <c r="R34" s="15" t="str">
        <f aca="false">IF(P34&lt;2,"",STDEV(F34:O34))</f>
        <v/>
      </c>
      <c r="S34" s="16" t="str">
        <f aca="false">IF(P34&lt;2,"",IF(Q34=0,"",R34/Q34*100))</f>
        <v/>
      </c>
      <c r="T34" s="15" t="str">
        <f aca="false">IF(AB34="","",IF(AB34=AC34,AD34,AD34+(AE34-AD34)*(Q34-AB34)/(AC34-AB34)))</f>
        <v/>
      </c>
      <c r="U34" s="16" t="str">
        <f aca="false">IF(OR(T34="",R34=""),"",IF(T34=0,"",R34/T34))</f>
        <v/>
      </c>
      <c r="V34" s="17" t="str">
        <f aca="false">IF(Q34="","",IF(T34="","기준없음",IF(R34&lt;=T34*$C$2,"합격","불합격")))</f>
        <v/>
      </c>
      <c r="W34" s="18" t="str">
        <f aca="false">IF(OR(Q34="",D34=""),"",Q34-D34)</f>
        <v/>
      </c>
      <c r="X34" s="15" t="str">
        <f aca="false">IF(W34="","",IF(E34&lt;&gt;"",E34,IF(T34="","",T34*$C$3)))</f>
        <v/>
      </c>
      <c r="Y34" s="17" t="str">
        <f aca="false">IF(OR(W34="",X34=""),"",IF(ABS(W34)&lt;=X34,"합격","불합격"))</f>
        <v/>
      </c>
      <c r="Z34" s="19" t="str">
        <f aca="false">IF(OR(AA34="",Q34=""),"",IF(AB34="","기준SD 데이터 없음 ",IF(Q34&lt;_xlfn.MINIFS(기준SD!$C$2:$C$500,기준SD!$E$2:$E$500,AA34),"최저 레벨 미만→최저 레벨 SD 적용 ",IF(Q34&gt;_xlfn.MAXIFS(기준SD!$C$2:$C$500,기준SD!$E$2:$E$500,AA34),"최고 레벨 초과→최고 레벨 SD 적용 ","")))&amp;IF(SUMIFS(원소정보!$E$2:$E$200,원소정보!$F$2:$F$200,AA34)&gt;0,IF(Q34&gt;SUMIFS(원소정보!$E$2:$E$200,원소정보!$F$2:$F$200,AA34),"검량범위 초과 ",""),"")&amp;IF(SUMIFS(원소정보!$D$2:$D$200,원소정보!$F$2:$F$200,AA34)&gt;0,IF(Q34&lt;SUMIFS(원소정보!$D$2:$D$200,원소정보!$F$2:$F$200,AA34)/10000,"검출한계 미만",""),""))</f>
        <v/>
      </c>
      <c r="AA34" s="19" t="str">
        <f aca="false">IF(OR(A34="",C34=""),"",A34&amp;"|"&amp;C34)</f>
        <v/>
      </c>
      <c r="AB34" s="20" t="str">
        <f aca="false">IF(OR(AA34="",Q34=""),"",IF(COUNTIF(기준SD!$E$2:$E$500,AA34)=0,"",IF(COUNTIFS(기준SD!$E$2:$E$500,AA34,기준SD!$C$2:$C$500,"&lt;="&amp;Q34)=0,_xlfn.MINIFS(기준SD!$C$2:$C$500,기준SD!$E$2:$E$500,AA34),_xlfn.MAXIFS(기준SD!$C$2:$C$500,기준SD!$E$2:$E$500,AA34,기준SD!$C$2:$C$500,"&lt;="&amp;Q34))))</f>
        <v/>
      </c>
      <c r="AC34" s="20" t="str">
        <f aca="false">IF(AB34="","",IF(COUNTIFS(기준SD!$E$2:$E$500,AA34,기준SD!$C$2:$C$500,"&gt;="&amp;Q34)=0,_xlfn.MAXIFS(기준SD!$C$2:$C$500,기준SD!$E$2:$E$500,AA34),_xlfn.MINIFS(기준SD!$C$2:$C$500,기준SD!$E$2:$E$500,AA34,기준SD!$C$2:$C$500,"&gt;="&amp;Q34)))</f>
        <v/>
      </c>
      <c r="AD34" s="15" t="str">
        <f aca="false">IF(AB34="","",SUMIFS(기준SD!$D$2:$D$500,기준SD!$E$2:$E$500,AA34,기준SD!$C$2:$C$500,AB34))</f>
        <v/>
      </c>
      <c r="AE34" s="15" t="str">
        <f aca="false">IF(AC34="","",SUMIFS(기준SD!$D$2:$D$500,기준SD!$E$2:$E$500,AA34,기준SD!$C$2:$C$500,AC34))</f>
        <v/>
      </c>
    </row>
    <row r="35" customFormat="false" ht="15" hidden="false" customHeight="false" outlineLevel="0" collapsed="false">
      <c r="A35" s="8"/>
      <c r="B35" s="8"/>
      <c r="C35" s="8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4" t="n">
        <f aca="false">COUNT(F35:O35)</f>
        <v>0</v>
      </c>
      <c r="Q35" s="15" t="str">
        <f aca="false">IF(P35&lt;2,"",AVERAGE(F35:O35))</f>
        <v/>
      </c>
      <c r="R35" s="15" t="str">
        <f aca="false">IF(P35&lt;2,"",STDEV(F35:O35))</f>
        <v/>
      </c>
      <c r="S35" s="16" t="str">
        <f aca="false">IF(P35&lt;2,"",IF(Q35=0,"",R35/Q35*100))</f>
        <v/>
      </c>
      <c r="T35" s="15" t="str">
        <f aca="false">IF(AB35="","",IF(AB35=AC35,AD35,AD35+(AE35-AD35)*(Q35-AB35)/(AC35-AB35)))</f>
        <v/>
      </c>
      <c r="U35" s="16" t="str">
        <f aca="false">IF(OR(T35="",R35=""),"",IF(T35=0,"",R35/T35))</f>
        <v/>
      </c>
      <c r="V35" s="17" t="str">
        <f aca="false">IF(Q35="","",IF(T35="","기준없음",IF(R35&lt;=T35*$C$2,"합격","불합격")))</f>
        <v/>
      </c>
      <c r="W35" s="18" t="str">
        <f aca="false">IF(OR(Q35="",D35=""),"",Q35-D35)</f>
        <v/>
      </c>
      <c r="X35" s="15" t="str">
        <f aca="false">IF(W35="","",IF(E35&lt;&gt;"",E35,IF(T35="","",T35*$C$3)))</f>
        <v/>
      </c>
      <c r="Y35" s="17" t="str">
        <f aca="false">IF(OR(W35="",X35=""),"",IF(ABS(W35)&lt;=X35,"합격","불합격"))</f>
        <v/>
      </c>
      <c r="Z35" s="19" t="str">
        <f aca="false">IF(OR(AA35="",Q35=""),"",IF(AB35="","기준SD 데이터 없음 ",IF(Q35&lt;_xlfn.MINIFS(기준SD!$C$2:$C$500,기준SD!$E$2:$E$500,AA35),"최저 레벨 미만→최저 레벨 SD 적용 ",IF(Q35&gt;_xlfn.MAXIFS(기준SD!$C$2:$C$500,기준SD!$E$2:$E$500,AA35),"최고 레벨 초과→최고 레벨 SD 적용 ","")))&amp;IF(SUMIFS(원소정보!$E$2:$E$200,원소정보!$F$2:$F$200,AA35)&gt;0,IF(Q35&gt;SUMIFS(원소정보!$E$2:$E$200,원소정보!$F$2:$F$200,AA35),"검량범위 초과 ",""),"")&amp;IF(SUMIFS(원소정보!$D$2:$D$200,원소정보!$F$2:$F$200,AA35)&gt;0,IF(Q35&lt;SUMIFS(원소정보!$D$2:$D$200,원소정보!$F$2:$F$200,AA35)/10000,"검출한계 미만",""),""))</f>
        <v/>
      </c>
      <c r="AA35" s="19" t="str">
        <f aca="false">IF(OR(A35="",C35=""),"",A35&amp;"|"&amp;C35)</f>
        <v/>
      </c>
      <c r="AB35" s="20" t="str">
        <f aca="false">IF(OR(AA35="",Q35=""),"",IF(COUNTIF(기준SD!$E$2:$E$500,AA35)=0,"",IF(COUNTIFS(기준SD!$E$2:$E$500,AA35,기준SD!$C$2:$C$500,"&lt;="&amp;Q35)=0,_xlfn.MINIFS(기준SD!$C$2:$C$500,기준SD!$E$2:$E$500,AA35),_xlfn.MAXIFS(기준SD!$C$2:$C$500,기준SD!$E$2:$E$500,AA35,기준SD!$C$2:$C$500,"&lt;="&amp;Q35))))</f>
        <v/>
      </c>
      <c r="AC35" s="20" t="str">
        <f aca="false">IF(AB35="","",IF(COUNTIFS(기준SD!$E$2:$E$500,AA35,기준SD!$C$2:$C$500,"&gt;="&amp;Q35)=0,_xlfn.MAXIFS(기준SD!$C$2:$C$500,기준SD!$E$2:$E$500,AA35),_xlfn.MINIFS(기준SD!$C$2:$C$500,기준SD!$E$2:$E$500,AA35,기준SD!$C$2:$C$500,"&gt;="&amp;Q35)))</f>
        <v/>
      </c>
      <c r="AD35" s="15" t="str">
        <f aca="false">IF(AB35="","",SUMIFS(기준SD!$D$2:$D$500,기준SD!$E$2:$E$500,AA35,기준SD!$C$2:$C$500,AB35))</f>
        <v/>
      </c>
      <c r="AE35" s="15" t="str">
        <f aca="false">IF(AC35="","",SUMIFS(기준SD!$D$2:$D$500,기준SD!$E$2:$E$500,AA35,기준SD!$C$2:$C$500,AC35))</f>
        <v/>
      </c>
    </row>
    <row r="36" customFormat="false" ht="15" hidden="false" customHeight="false" outlineLevel="0" collapsed="false">
      <c r="A36" s="8"/>
      <c r="B36" s="8"/>
      <c r="C36" s="8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 t="n">
        <f aca="false">COUNT(F36:O36)</f>
        <v>0</v>
      </c>
      <c r="Q36" s="15" t="str">
        <f aca="false">IF(P36&lt;2,"",AVERAGE(F36:O36))</f>
        <v/>
      </c>
      <c r="R36" s="15" t="str">
        <f aca="false">IF(P36&lt;2,"",STDEV(F36:O36))</f>
        <v/>
      </c>
      <c r="S36" s="16" t="str">
        <f aca="false">IF(P36&lt;2,"",IF(Q36=0,"",R36/Q36*100))</f>
        <v/>
      </c>
      <c r="T36" s="15" t="str">
        <f aca="false">IF(AB36="","",IF(AB36=AC36,AD36,AD36+(AE36-AD36)*(Q36-AB36)/(AC36-AB36)))</f>
        <v/>
      </c>
      <c r="U36" s="16" t="str">
        <f aca="false">IF(OR(T36="",R36=""),"",IF(T36=0,"",R36/T36))</f>
        <v/>
      </c>
      <c r="V36" s="17" t="str">
        <f aca="false">IF(Q36="","",IF(T36="","기준없음",IF(R36&lt;=T36*$C$2,"합격","불합격")))</f>
        <v/>
      </c>
      <c r="W36" s="18" t="str">
        <f aca="false">IF(OR(Q36="",D36=""),"",Q36-D36)</f>
        <v/>
      </c>
      <c r="X36" s="15" t="str">
        <f aca="false">IF(W36="","",IF(E36&lt;&gt;"",E36,IF(T36="","",T36*$C$3)))</f>
        <v/>
      </c>
      <c r="Y36" s="17" t="str">
        <f aca="false">IF(OR(W36="",X36=""),"",IF(ABS(W36)&lt;=X36,"합격","불합격"))</f>
        <v/>
      </c>
      <c r="Z36" s="19" t="str">
        <f aca="false">IF(OR(AA36="",Q36=""),"",IF(AB36="","기준SD 데이터 없음 ",IF(Q36&lt;_xlfn.MINIFS(기준SD!$C$2:$C$500,기준SD!$E$2:$E$500,AA36),"최저 레벨 미만→최저 레벨 SD 적용 ",IF(Q36&gt;_xlfn.MAXIFS(기준SD!$C$2:$C$500,기준SD!$E$2:$E$500,AA36),"최고 레벨 초과→최고 레벨 SD 적용 ","")))&amp;IF(SUMIFS(원소정보!$E$2:$E$200,원소정보!$F$2:$F$200,AA36)&gt;0,IF(Q36&gt;SUMIFS(원소정보!$E$2:$E$200,원소정보!$F$2:$F$200,AA36),"검량범위 초과 ",""),"")&amp;IF(SUMIFS(원소정보!$D$2:$D$200,원소정보!$F$2:$F$200,AA36)&gt;0,IF(Q36&lt;SUMIFS(원소정보!$D$2:$D$200,원소정보!$F$2:$F$200,AA36)/10000,"검출한계 미만",""),""))</f>
        <v/>
      </c>
      <c r="AA36" s="19" t="str">
        <f aca="false">IF(OR(A36="",C36=""),"",A36&amp;"|"&amp;C36)</f>
        <v/>
      </c>
      <c r="AB36" s="20" t="str">
        <f aca="false">IF(OR(AA36="",Q36=""),"",IF(COUNTIF(기준SD!$E$2:$E$500,AA36)=0,"",IF(COUNTIFS(기준SD!$E$2:$E$500,AA36,기준SD!$C$2:$C$500,"&lt;="&amp;Q36)=0,_xlfn.MINIFS(기준SD!$C$2:$C$500,기준SD!$E$2:$E$500,AA36),_xlfn.MAXIFS(기준SD!$C$2:$C$500,기준SD!$E$2:$E$500,AA36,기준SD!$C$2:$C$500,"&lt;="&amp;Q36))))</f>
        <v/>
      </c>
      <c r="AC36" s="20" t="str">
        <f aca="false">IF(AB36="","",IF(COUNTIFS(기준SD!$E$2:$E$500,AA36,기준SD!$C$2:$C$500,"&gt;="&amp;Q36)=0,_xlfn.MAXIFS(기준SD!$C$2:$C$500,기준SD!$E$2:$E$500,AA36),_xlfn.MINIFS(기준SD!$C$2:$C$500,기준SD!$E$2:$E$500,AA36,기준SD!$C$2:$C$500,"&gt;="&amp;Q36)))</f>
        <v/>
      </c>
      <c r="AD36" s="15" t="str">
        <f aca="false">IF(AB36="","",SUMIFS(기준SD!$D$2:$D$500,기준SD!$E$2:$E$500,AA36,기준SD!$C$2:$C$500,AB36))</f>
        <v/>
      </c>
      <c r="AE36" s="15" t="str">
        <f aca="false">IF(AC36="","",SUMIFS(기준SD!$D$2:$D$500,기준SD!$E$2:$E$500,AA36,기준SD!$C$2:$C$500,AC36))</f>
        <v/>
      </c>
    </row>
    <row r="37" customFormat="false" ht="15" hidden="false" customHeight="false" outlineLevel="0" collapsed="false">
      <c r="A37" s="8"/>
      <c r="B37" s="8"/>
      <c r="C37" s="8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4" t="n">
        <f aca="false">COUNT(F37:O37)</f>
        <v>0</v>
      </c>
      <c r="Q37" s="15" t="str">
        <f aca="false">IF(P37&lt;2,"",AVERAGE(F37:O37))</f>
        <v/>
      </c>
      <c r="R37" s="15" t="str">
        <f aca="false">IF(P37&lt;2,"",STDEV(F37:O37))</f>
        <v/>
      </c>
      <c r="S37" s="16" t="str">
        <f aca="false">IF(P37&lt;2,"",IF(Q37=0,"",R37/Q37*100))</f>
        <v/>
      </c>
      <c r="T37" s="15" t="str">
        <f aca="false">IF(AB37="","",IF(AB37=AC37,AD37,AD37+(AE37-AD37)*(Q37-AB37)/(AC37-AB37)))</f>
        <v/>
      </c>
      <c r="U37" s="16" t="str">
        <f aca="false">IF(OR(T37="",R37=""),"",IF(T37=0,"",R37/T37))</f>
        <v/>
      </c>
      <c r="V37" s="17" t="str">
        <f aca="false">IF(Q37="","",IF(T37="","기준없음",IF(R37&lt;=T37*$C$2,"합격","불합격")))</f>
        <v/>
      </c>
      <c r="W37" s="18" t="str">
        <f aca="false">IF(OR(Q37="",D37=""),"",Q37-D37)</f>
        <v/>
      </c>
      <c r="X37" s="15" t="str">
        <f aca="false">IF(W37="","",IF(E37&lt;&gt;"",E37,IF(T37="","",T37*$C$3)))</f>
        <v/>
      </c>
      <c r="Y37" s="17" t="str">
        <f aca="false">IF(OR(W37="",X37=""),"",IF(ABS(W37)&lt;=X37,"합격","불합격"))</f>
        <v/>
      </c>
      <c r="Z37" s="19" t="str">
        <f aca="false">IF(OR(AA37="",Q37=""),"",IF(AB37="","기준SD 데이터 없음 ",IF(Q37&lt;_xlfn.MINIFS(기준SD!$C$2:$C$500,기준SD!$E$2:$E$500,AA37),"최저 레벨 미만→최저 레벨 SD 적용 ",IF(Q37&gt;_xlfn.MAXIFS(기준SD!$C$2:$C$500,기준SD!$E$2:$E$500,AA37),"최고 레벨 초과→최고 레벨 SD 적용 ","")))&amp;IF(SUMIFS(원소정보!$E$2:$E$200,원소정보!$F$2:$F$200,AA37)&gt;0,IF(Q37&gt;SUMIFS(원소정보!$E$2:$E$200,원소정보!$F$2:$F$200,AA37),"검량범위 초과 ",""),"")&amp;IF(SUMIFS(원소정보!$D$2:$D$200,원소정보!$F$2:$F$200,AA37)&gt;0,IF(Q37&lt;SUMIFS(원소정보!$D$2:$D$200,원소정보!$F$2:$F$200,AA37)/10000,"검출한계 미만",""),""))</f>
        <v/>
      </c>
      <c r="AA37" s="19" t="str">
        <f aca="false">IF(OR(A37="",C37=""),"",A37&amp;"|"&amp;C37)</f>
        <v/>
      </c>
      <c r="AB37" s="20" t="str">
        <f aca="false">IF(OR(AA37="",Q37=""),"",IF(COUNTIF(기준SD!$E$2:$E$500,AA37)=0,"",IF(COUNTIFS(기준SD!$E$2:$E$500,AA37,기준SD!$C$2:$C$500,"&lt;="&amp;Q37)=0,_xlfn.MINIFS(기준SD!$C$2:$C$500,기준SD!$E$2:$E$500,AA37),_xlfn.MAXIFS(기준SD!$C$2:$C$500,기준SD!$E$2:$E$500,AA37,기준SD!$C$2:$C$500,"&lt;="&amp;Q37))))</f>
        <v/>
      </c>
      <c r="AC37" s="20" t="str">
        <f aca="false">IF(AB37="","",IF(COUNTIFS(기준SD!$E$2:$E$500,AA37,기준SD!$C$2:$C$500,"&gt;="&amp;Q37)=0,_xlfn.MAXIFS(기준SD!$C$2:$C$500,기준SD!$E$2:$E$500,AA37),_xlfn.MINIFS(기준SD!$C$2:$C$500,기준SD!$E$2:$E$500,AA37,기준SD!$C$2:$C$500,"&gt;="&amp;Q37)))</f>
        <v/>
      </c>
      <c r="AD37" s="15" t="str">
        <f aca="false">IF(AB37="","",SUMIFS(기준SD!$D$2:$D$500,기준SD!$E$2:$E$500,AA37,기준SD!$C$2:$C$500,AB37))</f>
        <v/>
      </c>
      <c r="AE37" s="15" t="str">
        <f aca="false">IF(AC37="","",SUMIFS(기준SD!$D$2:$D$500,기준SD!$E$2:$E$500,AA37,기준SD!$C$2:$C$500,AC37))</f>
        <v/>
      </c>
    </row>
    <row r="38" customFormat="false" ht="15" hidden="false" customHeight="false" outlineLevel="0" collapsed="false">
      <c r="A38" s="8"/>
      <c r="B38" s="8"/>
      <c r="C38" s="8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4" t="n">
        <f aca="false">COUNT(F38:O38)</f>
        <v>0</v>
      </c>
      <c r="Q38" s="15" t="str">
        <f aca="false">IF(P38&lt;2,"",AVERAGE(F38:O38))</f>
        <v/>
      </c>
      <c r="R38" s="15" t="str">
        <f aca="false">IF(P38&lt;2,"",STDEV(F38:O38))</f>
        <v/>
      </c>
      <c r="S38" s="16" t="str">
        <f aca="false">IF(P38&lt;2,"",IF(Q38=0,"",R38/Q38*100))</f>
        <v/>
      </c>
      <c r="T38" s="15" t="str">
        <f aca="false">IF(AB38="","",IF(AB38=AC38,AD38,AD38+(AE38-AD38)*(Q38-AB38)/(AC38-AB38)))</f>
        <v/>
      </c>
      <c r="U38" s="16" t="str">
        <f aca="false">IF(OR(T38="",R38=""),"",IF(T38=0,"",R38/T38))</f>
        <v/>
      </c>
      <c r="V38" s="17" t="str">
        <f aca="false">IF(Q38="","",IF(T38="","기준없음",IF(R38&lt;=T38*$C$2,"합격","불합격")))</f>
        <v/>
      </c>
      <c r="W38" s="18" t="str">
        <f aca="false">IF(OR(Q38="",D38=""),"",Q38-D38)</f>
        <v/>
      </c>
      <c r="X38" s="15" t="str">
        <f aca="false">IF(W38="","",IF(E38&lt;&gt;"",E38,IF(T38="","",T38*$C$3)))</f>
        <v/>
      </c>
      <c r="Y38" s="17" t="str">
        <f aca="false">IF(OR(W38="",X38=""),"",IF(ABS(W38)&lt;=X38,"합격","불합격"))</f>
        <v/>
      </c>
      <c r="Z38" s="19" t="str">
        <f aca="false">IF(OR(AA38="",Q38=""),"",IF(AB38="","기준SD 데이터 없음 ",IF(Q38&lt;_xlfn.MINIFS(기준SD!$C$2:$C$500,기준SD!$E$2:$E$500,AA38),"최저 레벨 미만→최저 레벨 SD 적용 ",IF(Q38&gt;_xlfn.MAXIFS(기준SD!$C$2:$C$500,기준SD!$E$2:$E$500,AA38),"최고 레벨 초과→최고 레벨 SD 적용 ","")))&amp;IF(SUMIFS(원소정보!$E$2:$E$200,원소정보!$F$2:$F$200,AA38)&gt;0,IF(Q38&gt;SUMIFS(원소정보!$E$2:$E$200,원소정보!$F$2:$F$200,AA38),"검량범위 초과 ",""),"")&amp;IF(SUMIFS(원소정보!$D$2:$D$200,원소정보!$F$2:$F$200,AA38)&gt;0,IF(Q38&lt;SUMIFS(원소정보!$D$2:$D$200,원소정보!$F$2:$F$200,AA38)/10000,"검출한계 미만",""),""))</f>
        <v/>
      </c>
      <c r="AA38" s="19" t="str">
        <f aca="false">IF(OR(A38="",C38=""),"",A38&amp;"|"&amp;C38)</f>
        <v/>
      </c>
      <c r="AB38" s="20" t="str">
        <f aca="false">IF(OR(AA38="",Q38=""),"",IF(COUNTIF(기준SD!$E$2:$E$500,AA38)=0,"",IF(COUNTIFS(기준SD!$E$2:$E$500,AA38,기준SD!$C$2:$C$500,"&lt;="&amp;Q38)=0,_xlfn.MINIFS(기준SD!$C$2:$C$500,기준SD!$E$2:$E$500,AA38),_xlfn.MAXIFS(기준SD!$C$2:$C$500,기준SD!$E$2:$E$500,AA38,기준SD!$C$2:$C$500,"&lt;="&amp;Q38))))</f>
        <v/>
      </c>
      <c r="AC38" s="20" t="str">
        <f aca="false">IF(AB38="","",IF(COUNTIFS(기준SD!$E$2:$E$500,AA38,기준SD!$C$2:$C$500,"&gt;="&amp;Q38)=0,_xlfn.MAXIFS(기준SD!$C$2:$C$500,기준SD!$E$2:$E$500,AA38),_xlfn.MINIFS(기준SD!$C$2:$C$500,기준SD!$E$2:$E$500,AA38,기준SD!$C$2:$C$500,"&gt;="&amp;Q38)))</f>
        <v/>
      </c>
      <c r="AD38" s="15" t="str">
        <f aca="false">IF(AB38="","",SUMIFS(기준SD!$D$2:$D$500,기준SD!$E$2:$E$500,AA38,기준SD!$C$2:$C$500,AB38))</f>
        <v/>
      </c>
      <c r="AE38" s="15" t="str">
        <f aca="false">IF(AC38="","",SUMIFS(기준SD!$D$2:$D$500,기준SD!$E$2:$E$500,AA38,기준SD!$C$2:$C$500,AC38))</f>
        <v/>
      </c>
    </row>
    <row r="39" customFormat="false" ht="15" hidden="false" customHeight="false" outlineLevel="0" collapsed="false">
      <c r="A39" s="8"/>
      <c r="B39" s="8"/>
      <c r="C39" s="8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4" t="n">
        <f aca="false">COUNT(F39:O39)</f>
        <v>0</v>
      </c>
      <c r="Q39" s="15" t="str">
        <f aca="false">IF(P39&lt;2,"",AVERAGE(F39:O39))</f>
        <v/>
      </c>
      <c r="R39" s="15" t="str">
        <f aca="false">IF(P39&lt;2,"",STDEV(F39:O39))</f>
        <v/>
      </c>
      <c r="S39" s="16" t="str">
        <f aca="false">IF(P39&lt;2,"",IF(Q39=0,"",R39/Q39*100))</f>
        <v/>
      </c>
      <c r="T39" s="15" t="str">
        <f aca="false">IF(AB39="","",IF(AB39=AC39,AD39,AD39+(AE39-AD39)*(Q39-AB39)/(AC39-AB39)))</f>
        <v/>
      </c>
      <c r="U39" s="16" t="str">
        <f aca="false">IF(OR(T39="",R39=""),"",IF(T39=0,"",R39/T39))</f>
        <v/>
      </c>
      <c r="V39" s="17" t="str">
        <f aca="false">IF(Q39="","",IF(T39="","기준없음",IF(R39&lt;=T39*$C$2,"합격","불합격")))</f>
        <v/>
      </c>
      <c r="W39" s="18" t="str">
        <f aca="false">IF(OR(Q39="",D39=""),"",Q39-D39)</f>
        <v/>
      </c>
      <c r="X39" s="15" t="str">
        <f aca="false">IF(W39="","",IF(E39&lt;&gt;"",E39,IF(T39="","",T39*$C$3)))</f>
        <v/>
      </c>
      <c r="Y39" s="17" t="str">
        <f aca="false">IF(OR(W39="",X39=""),"",IF(ABS(W39)&lt;=X39,"합격","불합격"))</f>
        <v/>
      </c>
      <c r="Z39" s="19" t="str">
        <f aca="false">IF(OR(AA39="",Q39=""),"",IF(AB39="","기준SD 데이터 없음 ",IF(Q39&lt;_xlfn.MINIFS(기준SD!$C$2:$C$500,기준SD!$E$2:$E$500,AA39),"최저 레벨 미만→최저 레벨 SD 적용 ",IF(Q39&gt;_xlfn.MAXIFS(기준SD!$C$2:$C$500,기준SD!$E$2:$E$500,AA39),"최고 레벨 초과→최고 레벨 SD 적용 ","")))&amp;IF(SUMIFS(원소정보!$E$2:$E$200,원소정보!$F$2:$F$200,AA39)&gt;0,IF(Q39&gt;SUMIFS(원소정보!$E$2:$E$200,원소정보!$F$2:$F$200,AA39),"검량범위 초과 ",""),"")&amp;IF(SUMIFS(원소정보!$D$2:$D$200,원소정보!$F$2:$F$200,AA39)&gt;0,IF(Q39&lt;SUMIFS(원소정보!$D$2:$D$200,원소정보!$F$2:$F$200,AA39)/10000,"검출한계 미만",""),""))</f>
        <v/>
      </c>
      <c r="AA39" s="19" t="str">
        <f aca="false">IF(OR(A39="",C39=""),"",A39&amp;"|"&amp;C39)</f>
        <v/>
      </c>
      <c r="AB39" s="20" t="str">
        <f aca="false">IF(OR(AA39="",Q39=""),"",IF(COUNTIF(기준SD!$E$2:$E$500,AA39)=0,"",IF(COUNTIFS(기준SD!$E$2:$E$500,AA39,기준SD!$C$2:$C$500,"&lt;="&amp;Q39)=0,_xlfn.MINIFS(기준SD!$C$2:$C$500,기준SD!$E$2:$E$500,AA39),_xlfn.MAXIFS(기준SD!$C$2:$C$500,기준SD!$E$2:$E$500,AA39,기준SD!$C$2:$C$500,"&lt;="&amp;Q39))))</f>
        <v/>
      </c>
      <c r="AC39" s="20" t="str">
        <f aca="false">IF(AB39="","",IF(COUNTIFS(기준SD!$E$2:$E$500,AA39,기준SD!$C$2:$C$500,"&gt;="&amp;Q39)=0,_xlfn.MAXIFS(기준SD!$C$2:$C$500,기준SD!$E$2:$E$500,AA39),_xlfn.MINIFS(기준SD!$C$2:$C$500,기준SD!$E$2:$E$500,AA39,기준SD!$C$2:$C$500,"&gt;="&amp;Q39)))</f>
        <v/>
      </c>
      <c r="AD39" s="15" t="str">
        <f aca="false">IF(AB39="","",SUMIFS(기준SD!$D$2:$D$500,기준SD!$E$2:$E$500,AA39,기준SD!$C$2:$C$500,AB39))</f>
        <v/>
      </c>
      <c r="AE39" s="15" t="str">
        <f aca="false">IF(AC39="","",SUMIFS(기준SD!$D$2:$D$500,기준SD!$E$2:$E$500,AA39,기준SD!$C$2:$C$500,AC39))</f>
        <v/>
      </c>
    </row>
    <row r="40" customFormat="false" ht="15" hidden="false" customHeight="false" outlineLevel="0" collapsed="false">
      <c r="A40" s="8"/>
      <c r="B40" s="8"/>
      <c r="C40" s="8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4" t="n">
        <f aca="false">COUNT(F40:O40)</f>
        <v>0</v>
      </c>
      <c r="Q40" s="15" t="str">
        <f aca="false">IF(P40&lt;2,"",AVERAGE(F40:O40))</f>
        <v/>
      </c>
      <c r="R40" s="15" t="str">
        <f aca="false">IF(P40&lt;2,"",STDEV(F40:O40))</f>
        <v/>
      </c>
      <c r="S40" s="16" t="str">
        <f aca="false">IF(P40&lt;2,"",IF(Q40=0,"",R40/Q40*100))</f>
        <v/>
      </c>
      <c r="T40" s="15" t="str">
        <f aca="false">IF(AB40="","",IF(AB40=AC40,AD40,AD40+(AE40-AD40)*(Q40-AB40)/(AC40-AB40)))</f>
        <v/>
      </c>
      <c r="U40" s="16" t="str">
        <f aca="false">IF(OR(T40="",R40=""),"",IF(T40=0,"",R40/T40))</f>
        <v/>
      </c>
      <c r="V40" s="17" t="str">
        <f aca="false">IF(Q40="","",IF(T40="","기준없음",IF(R40&lt;=T40*$C$2,"합격","불합격")))</f>
        <v/>
      </c>
      <c r="W40" s="18" t="str">
        <f aca="false">IF(OR(Q40="",D40=""),"",Q40-D40)</f>
        <v/>
      </c>
      <c r="X40" s="15" t="str">
        <f aca="false">IF(W40="","",IF(E40&lt;&gt;"",E40,IF(T40="","",T40*$C$3)))</f>
        <v/>
      </c>
      <c r="Y40" s="17" t="str">
        <f aca="false">IF(OR(W40="",X40=""),"",IF(ABS(W40)&lt;=X40,"합격","불합격"))</f>
        <v/>
      </c>
      <c r="Z40" s="19" t="str">
        <f aca="false">IF(OR(AA40="",Q40=""),"",IF(AB40="","기준SD 데이터 없음 ",IF(Q40&lt;_xlfn.MINIFS(기준SD!$C$2:$C$500,기준SD!$E$2:$E$500,AA40),"최저 레벨 미만→최저 레벨 SD 적용 ",IF(Q40&gt;_xlfn.MAXIFS(기준SD!$C$2:$C$500,기준SD!$E$2:$E$500,AA40),"최고 레벨 초과→최고 레벨 SD 적용 ","")))&amp;IF(SUMIFS(원소정보!$E$2:$E$200,원소정보!$F$2:$F$200,AA40)&gt;0,IF(Q40&gt;SUMIFS(원소정보!$E$2:$E$200,원소정보!$F$2:$F$200,AA40),"검량범위 초과 ",""),"")&amp;IF(SUMIFS(원소정보!$D$2:$D$200,원소정보!$F$2:$F$200,AA40)&gt;0,IF(Q40&lt;SUMIFS(원소정보!$D$2:$D$200,원소정보!$F$2:$F$200,AA40)/10000,"검출한계 미만",""),""))</f>
        <v/>
      </c>
      <c r="AA40" s="19" t="str">
        <f aca="false">IF(OR(A40="",C40=""),"",A40&amp;"|"&amp;C40)</f>
        <v/>
      </c>
      <c r="AB40" s="20" t="str">
        <f aca="false">IF(OR(AA40="",Q40=""),"",IF(COUNTIF(기준SD!$E$2:$E$500,AA40)=0,"",IF(COUNTIFS(기준SD!$E$2:$E$500,AA40,기준SD!$C$2:$C$500,"&lt;="&amp;Q40)=0,_xlfn.MINIFS(기준SD!$C$2:$C$500,기준SD!$E$2:$E$500,AA40),_xlfn.MAXIFS(기준SD!$C$2:$C$500,기준SD!$E$2:$E$500,AA40,기준SD!$C$2:$C$500,"&lt;="&amp;Q40))))</f>
        <v/>
      </c>
      <c r="AC40" s="20" t="str">
        <f aca="false">IF(AB40="","",IF(COUNTIFS(기준SD!$E$2:$E$500,AA40,기준SD!$C$2:$C$500,"&gt;="&amp;Q40)=0,_xlfn.MAXIFS(기준SD!$C$2:$C$500,기준SD!$E$2:$E$500,AA40),_xlfn.MINIFS(기준SD!$C$2:$C$500,기준SD!$E$2:$E$500,AA40,기준SD!$C$2:$C$500,"&gt;="&amp;Q40)))</f>
        <v/>
      </c>
      <c r="AD40" s="15" t="str">
        <f aca="false">IF(AB40="","",SUMIFS(기준SD!$D$2:$D$500,기준SD!$E$2:$E$500,AA40,기준SD!$C$2:$C$500,AB40))</f>
        <v/>
      </c>
      <c r="AE40" s="15" t="str">
        <f aca="false">IF(AC40="","",SUMIFS(기준SD!$D$2:$D$500,기준SD!$E$2:$E$500,AA40,기준SD!$C$2:$C$500,AC40))</f>
        <v/>
      </c>
    </row>
    <row r="41" customFormat="false" ht="15" hidden="false" customHeight="false" outlineLevel="0" collapsed="false">
      <c r="A41" s="8"/>
      <c r="B41" s="8"/>
      <c r="C41" s="8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4" t="n">
        <f aca="false">COUNT(F41:O41)</f>
        <v>0</v>
      </c>
      <c r="Q41" s="15" t="str">
        <f aca="false">IF(P41&lt;2,"",AVERAGE(F41:O41))</f>
        <v/>
      </c>
      <c r="R41" s="15" t="str">
        <f aca="false">IF(P41&lt;2,"",STDEV(F41:O41))</f>
        <v/>
      </c>
      <c r="S41" s="16" t="str">
        <f aca="false">IF(P41&lt;2,"",IF(Q41=0,"",R41/Q41*100))</f>
        <v/>
      </c>
      <c r="T41" s="15" t="str">
        <f aca="false">IF(AB41="","",IF(AB41=AC41,AD41,AD41+(AE41-AD41)*(Q41-AB41)/(AC41-AB41)))</f>
        <v/>
      </c>
      <c r="U41" s="16" t="str">
        <f aca="false">IF(OR(T41="",R41=""),"",IF(T41=0,"",R41/T41))</f>
        <v/>
      </c>
      <c r="V41" s="17" t="str">
        <f aca="false">IF(Q41="","",IF(T41="","기준없음",IF(R41&lt;=T41*$C$2,"합격","불합격")))</f>
        <v/>
      </c>
      <c r="W41" s="18" t="str">
        <f aca="false">IF(OR(Q41="",D41=""),"",Q41-D41)</f>
        <v/>
      </c>
      <c r="X41" s="15" t="str">
        <f aca="false">IF(W41="","",IF(E41&lt;&gt;"",E41,IF(T41="","",T41*$C$3)))</f>
        <v/>
      </c>
      <c r="Y41" s="17" t="str">
        <f aca="false">IF(OR(W41="",X41=""),"",IF(ABS(W41)&lt;=X41,"합격","불합격"))</f>
        <v/>
      </c>
      <c r="Z41" s="19" t="str">
        <f aca="false">IF(OR(AA41="",Q41=""),"",IF(AB41="","기준SD 데이터 없음 ",IF(Q41&lt;_xlfn.MINIFS(기준SD!$C$2:$C$500,기준SD!$E$2:$E$500,AA41),"최저 레벨 미만→최저 레벨 SD 적용 ",IF(Q41&gt;_xlfn.MAXIFS(기준SD!$C$2:$C$500,기준SD!$E$2:$E$500,AA41),"최고 레벨 초과→최고 레벨 SD 적용 ","")))&amp;IF(SUMIFS(원소정보!$E$2:$E$200,원소정보!$F$2:$F$200,AA41)&gt;0,IF(Q41&gt;SUMIFS(원소정보!$E$2:$E$200,원소정보!$F$2:$F$200,AA41),"검량범위 초과 ",""),"")&amp;IF(SUMIFS(원소정보!$D$2:$D$200,원소정보!$F$2:$F$200,AA41)&gt;0,IF(Q41&lt;SUMIFS(원소정보!$D$2:$D$200,원소정보!$F$2:$F$200,AA41)/10000,"검출한계 미만",""),""))</f>
        <v/>
      </c>
      <c r="AA41" s="19" t="str">
        <f aca="false">IF(OR(A41="",C41=""),"",A41&amp;"|"&amp;C41)</f>
        <v/>
      </c>
      <c r="AB41" s="20" t="str">
        <f aca="false">IF(OR(AA41="",Q41=""),"",IF(COUNTIF(기준SD!$E$2:$E$500,AA41)=0,"",IF(COUNTIFS(기준SD!$E$2:$E$500,AA41,기준SD!$C$2:$C$500,"&lt;="&amp;Q41)=0,_xlfn.MINIFS(기준SD!$C$2:$C$500,기준SD!$E$2:$E$500,AA41),_xlfn.MAXIFS(기준SD!$C$2:$C$500,기준SD!$E$2:$E$500,AA41,기준SD!$C$2:$C$500,"&lt;="&amp;Q41))))</f>
        <v/>
      </c>
      <c r="AC41" s="20" t="str">
        <f aca="false">IF(AB41="","",IF(COUNTIFS(기준SD!$E$2:$E$500,AA41,기준SD!$C$2:$C$500,"&gt;="&amp;Q41)=0,_xlfn.MAXIFS(기준SD!$C$2:$C$500,기준SD!$E$2:$E$500,AA41),_xlfn.MINIFS(기준SD!$C$2:$C$500,기준SD!$E$2:$E$500,AA41,기준SD!$C$2:$C$500,"&gt;="&amp;Q41)))</f>
        <v/>
      </c>
      <c r="AD41" s="15" t="str">
        <f aca="false">IF(AB41="","",SUMIFS(기준SD!$D$2:$D$500,기준SD!$E$2:$E$500,AA41,기준SD!$C$2:$C$500,AB41))</f>
        <v/>
      </c>
      <c r="AE41" s="15" t="str">
        <f aca="false">IF(AC41="","",SUMIFS(기준SD!$D$2:$D$500,기준SD!$E$2:$E$500,AA41,기준SD!$C$2:$C$500,AC41))</f>
        <v/>
      </c>
    </row>
    <row r="42" customFormat="false" ht="15" hidden="false" customHeight="false" outlineLevel="0" collapsed="false">
      <c r="A42" s="8"/>
      <c r="B42" s="8"/>
      <c r="C42" s="8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4" t="n">
        <f aca="false">COUNT(F42:O42)</f>
        <v>0</v>
      </c>
      <c r="Q42" s="15" t="str">
        <f aca="false">IF(P42&lt;2,"",AVERAGE(F42:O42))</f>
        <v/>
      </c>
      <c r="R42" s="15" t="str">
        <f aca="false">IF(P42&lt;2,"",STDEV(F42:O42))</f>
        <v/>
      </c>
      <c r="S42" s="16" t="str">
        <f aca="false">IF(P42&lt;2,"",IF(Q42=0,"",R42/Q42*100))</f>
        <v/>
      </c>
      <c r="T42" s="15" t="str">
        <f aca="false">IF(AB42="","",IF(AB42=AC42,AD42,AD42+(AE42-AD42)*(Q42-AB42)/(AC42-AB42)))</f>
        <v/>
      </c>
      <c r="U42" s="16" t="str">
        <f aca="false">IF(OR(T42="",R42=""),"",IF(T42=0,"",R42/T42))</f>
        <v/>
      </c>
      <c r="V42" s="17" t="str">
        <f aca="false">IF(Q42="","",IF(T42="","기준없음",IF(R42&lt;=T42*$C$2,"합격","불합격")))</f>
        <v/>
      </c>
      <c r="W42" s="18" t="str">
        <f aca="false">IF(OR(Q42="",D42=""),"",Q42-D42)</f>
        <v/>
      </c>
      <c r="X42" s="15" t="str">
        <f aca="false">IF(W42="","",IF(E42&lt;&gt;"",E42,IF(T42="","",T42*$C$3)))</f>
        <v/>
      </c>
      <c r="Y42" s="17" t="str">
        <f aca="false">IF(OR(W42="",X42=""),"",IF(ABS(W42)&lt;=X42,"합격","불합격"))</f>
        <v/>
      </c>
      <c r="Z42" s="19" t="str">
        <f aca="false">IF(OR(AA42="",Q42=""),"",IF(AB42="","기준SD 데이터 없음 ",IF(Q42&lt;_xlfn.MINIFS(기준SD!$C$2:$C$500,기준SD!$E$2:$E$500,AA42),"최저 레벨 미만→최저 레벨 SD 적용 ",IF(Q42&gt;_xlfn.MAXIFS(기준SD!$C$2:$C$500,기준SD!$E$2:$E$500,AA42),"최고 레벨 초과→최고 레벨 SD 적용 ","")))&amp;IF(SUMIFS(원소정보!$E$2:$E$200,원소정보!$F$2:$F$200,AA42)&gt;0,IF(Q42&gt;SUMIFS(원소정보!$E$2:$E$200,원소정보!$F$2:$F$200,AA42),"검량범위 초과 ",""),"")&amp;IF(SUMIFS(원소정보!$D$2:$D$200,원소정보!$F$2:$F$200,AA42)&gt;0,IF(Q42&lt;SUMIFS(원소정보!$D$2:$D$200,원소정보!$F$2:$F$200,AA42)/10000,"검출한계 미만",""),""))</f>
        <v/>
      </c>
      <c r="AA42" s="19" t="str">
        <f aca="false">IF(OR(A42="",C42=""),"",A42&amp;"|"&amp;C42)</f>
        <v/>
      </c>
      <c r="AB42" s="20" t="str">
        <f aca="false">IF(OR(AA42="",Q42=""),"",IF(COUNTIF(기준SD!$E$2:$E$500,AA42)=0,"",IF(COUNTIFS(기준SD!$E$2:$E$500,AA42,기준SD!$C$2:$C$500,"&lt;="&amp;Q42)=0,_xlfn.MINIFS(기준SD!$C$2:$C$500,기준SD!$E$2:$E$500,AA42),_xlfn.MAXIFS(기준SD!$C$2:$C$500,기준SD!$E$2:$E$500,AA42,기준SD!$C$2:$C$500,"&lt;="&amp;Q42))))</f>
        <v/>
      </c>
      <c r="AC42" s="20" t="str">
        <f aca="false">IF(AB42="","",IF(COUNTIFS(기준SD!$E$2:$E$500,AA42,기준SD!$C$2:$C$500,"&gt;="&amp;Q42)=0,_xlfn.MAXIFS(기준SD!$C$2:$C$500,기준SD!$E$2:$E$500,AA42),_xlfn.MINIFS(기준SD!$C$2:$C$500,기준SD!$E$2:$E$500,AA42,기준SD!$C$2:$C$500,"&gt;="&amp;Q42)))</f>
        <v/>
      </c>
      <c r="AD42" s="15" t="str">
        <f aca="false">IF(AB42="","",SUMIFS(기준SD!$D$2:$D$500,기준SD!$E$2:$E$500,AA42,기준SD!$C$2:$C$500,AB42))</f>
        <v/>
      </c>
      <c r="AE42" s="15" t="str">
        <f aca="false">IF(AC42="","",SUMIFS(기준SD!$D$2:$D$500,기준SD!$E$2:$E$500,AA42,기준SD!$C$2:$C$500,AC42))</f>
        <v/>
      </c>
    </row>
    <row r="43" customFormat="false" ht="15" hidden="false" customHeight="false" outlineLevel="0" collapsed="false">
      <c r="A43" s="8"/>
      <c r="B43" s="8"/>
      <c r="C43" s="8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4" t="n">
        <f aca="false">COUNT(F43:O43)</f>
        <v>0</v>
      </c>
      <c r="Q43" s="15" t="str">
        <f aca="false">IF(P43&lt;2,"",AVERAGE(F43:O43))</f>
        <v/>
      </c>
      <c r="R43" s="15" t="str">
        <f aca="false">IF(P43&lt;2,"",STDEV(F43:O43))</f>
        <v/>
      </c>
      <c r="S43" s="16" t="str">
        <f aca="false">IF(P43&lt;2,"",IF(Q43=0,"",R43/Q43*100))</f>
        <v/>
      </c>
      <c r="T43" s="15" t="str">
        <f aca="false">IF(AB43="","",IF(AB43=AC43,AD43,AD43+(AE43-AD43)*(Q43-AB43)/(AC43-AB43)))</f>
        <v/>
      </c>
      <c r="U43" s="16" t="str">
        <f aca="false">IF(OR(T43="",R43=""),"",IF(T43=0,"",R43/T43))</f>
        <v/>
      </c>
      <c r="V43" s="17" t="str">
        <f aca="false">IF(Q43="","",IF(T43="","기준없음",IF(R43&lt;=T43*$C$2,"합격","불합격")))</f>
        <v/>
      </c>
      <c r="W43" s="18" t="str">
        <f aca="false">IF(OR(Q43="",D43=""),"",Q43-D43)</f>
        <v/>
      </c>
      <c r="X43" s="15" t="str">
        <f aca="false">IF(W43="","",IF(E43&lt;&gt;"",E43,IF(T43="","",T43*$C$3)))</f>
        <v/>
      </c>
      <c r="Y43" s="17" t="str">
        <f aca="false">IF(OR(W43="",X43=""),"",IF(ABS(W43)&lt;=X43,"합격","불합격"))</f>
        <v/>
      </c>
      <c r="Z43" s="19" t="str">
        <f aca="false">IF(OR(AA43="",Q43=""),"",IF(AB43="","기준SD 데이터 없음 ",IF(Q43&lt;_xlfn.MINIFS(기준SD!$C$2:$C$500,기준SD!$E$2:$E$500,AA43),"최저 레벨 미만→최저 레벨 SD 적용 ",IF(Q43&gt;_xlfn.MAXIFS(기준SD!$C$2:$C$500,기준SD!$E$2:$E$500,AA43),"최고 레벨 초과→최고 레벨 SD 적용 ","")))&amp;IF(SUMIFS(원소정보!$E$2:$E$200,원소정보!$F$2:$F$200,AA43)&gt;0,IF(Q43&gt;SUMIFS(원소정보!$E$2:$E$200,원소정보!$F$2:$F$200,AA43),"검량범위 초과 ",""),"")&amp;IF(SUMIFS(원소정보!$D$2:$D$200,원소정보!$F$2:$F$200,AA43)&gt;0,IF(Q43&lt;SUMIFS(원소정보!$D$2:$D$200,원소정보!$F$2:$F$200,AA43)/10000,"검출한계 미만",""),""))</f>
        <v/>
      </c>
      <c r="AA43" s="19" t="str">
        <f aca="false">IF(OR(A43="",C43=""),"",A43&amp;"|"&amp;C43)</f>
        <v/>
      </c>
      <c r="AB43" s="20" t="str">
        <f aca="false">IF(OR(AA43="",Q43=""),"",IF(COUNTIF(기준SD!$E$2:$E$500,AA43)=0,"",IF(COUNTIFS(기준SD!$E$2:$E$500,AA43,기준SD!$C$2:$C$500,"&lt;="&amp;Q43)=0,_xlfn.MINIFS(기준SD!$C$2:$C$500,기준SD!$E$2:$E$500,AA43),_xlfn.MAXIFS(기준SD!$C$2:$C$500,기준SD!$E$2:$E$500,AA43,기준SD!$C$2:$C$500,"&lt;="&amp;Q43))))</f>
        <v/>
      </c>
      <c r="AC43" s="20" t="str">
        <f aca="false">IF(AB43="","",IF(COUNTIFS(기준SD!$E$2:$E$500,AA43,기준SD!$C$2:$C$500,"&gt;="&amp;Q43)=0,_xlfn.MAXIFS(기준SD!$C$2:$C$500,기준SD!$E$2:$E$500,AA43),_xlfn.MINIFS(기준SD!$C$2:$C$500,기준SD!$E$2:$E$500,AA43,기준SD!$C$2:$C$500,"&gt;="&amp;Q43)))</f>
        <v/>
      </c>
      <c r="AD43" s="15" t="str">
        <f aca="false">IF(AB43="","",SUMIFS(기준SD!$D$2:$D$500,기준SD!$E$2:$E$500,AA43,기준SD!$C$2:$C$500,AB43))</f>
        <v/>
      </c>
      <c r="AE43" s="15" t="str">
        <f aca="false">IF(AC43="","",SUMIFS(기준SD!$D$2:$D$500,기준SD!$E$2:$E$500,AA43,기준SD!$C$2:$C$500,AC43))</f>
        <v/>
      </c>
    </row>
    <row r="44" customFormat="false" ht="15" hidden="false" customHeight="false" outlineLevel="0" collapsed="false">
      <c r="A44" s="8"/>
      <c r="B44" s="8"/>
      <c r="C44" s="8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4" t="n">
        <f aca="false">COUNT(F44:O44)</f>
        <v>0</v>
      </c>
      <c r="Q44" s="15" t="str">
        <f aca="false">IF(P44&lt;2,"",AVERAGE(F44:O44))</f>
        <v/>
      </c>
      <c r="R44" s="15" t="str">
        <f aca="false">IF(P44&lt;2,"",STDEV(F44:O44))</f>
        <v/>
      </c>
      <c r="S44" s="16" t="str">
        <f aca="false">IF(P44&lt;2,"",IF(Q44=0,"",R44/Q44*100))</f>
        <v/>
      </c>
      <c r="T44" s="15" t="str">
        <f aca="false">IF(AB44="","",IF(AB44=AC44,AD44,AD44+(AE44-AD44)*(Q44-AB44)/(AC44-AB44)))</f>
        <v/>
      </c>
      <c r="U44" s="16" t="str">
        <f aca="false">IF(OR(T44="",R44=""),"",IF(T44=0,"",R44/T44))</f>
        <v/>
      </c>
      <c r="V44" s="17" t="str">
        <f aca="false">IF(Q44="","",IF(T44="","기준없음",IF(R44&lt;=T44*$C$2,"합격","불합격")))</f>
        <v/>
      </c>
      <c r="W44" s="18" t="str">
        <f aca="false">IF(OR(Q44="",D44=""),"",Q44-D44)</f>
        <v/>
      </c>
      <c r="X44" s="15" t="str">
        <f aca="false">IF(W44="","",IF(E44&lt;&gt;"",E44,IF(T44="","",T44*$C$3)))</f>
        <v/>
      </c>
      <c r="Y44" s="17" t="str">
        <f aca="false">IF(OR(W44="",X44=""),"",IF(ABS(W44)&lt;=X44,"합격","불합격"))</f>
        <v/>
      </c>
      <c r="Z44" s="19" t="str">
        <f aca="false">IF(OR(AA44="",Q44=""),"",IF(AB44="","기준SD 데이터 없음 ",IF(Q44&lt;_xlfn.MINIFS(기준SD!$C$2:$C$500,기준SD!$E$2:$E$500,AA44),"최저 레벨 미만→최저 레벨 SD 적용 ",IF(Q44&gt;_xlfn.MAXIFS(기준SD!$C$2:$C$500,기준SD!$E$2:$E$500,AA44),"최고 레벨 초과→최고 레벨 SD 적용 ","")))&amp;IF(SUMIFS(원소정보!$E$2:$E$200,원소정보!$F$2:$F$200,AA44)&gt;0,IF(Q44&gt;SUMIFS(원소정보!$E$2:$E$200,원소정보!$F$2:$F$200,AA44),"검량범위 초과 ",""),"")&amp;IF(SUMIFS(원소정보!$D$2:$D$200,원소정보!$F$2:$F$200,AA44)&gt;0,IF(Q44&lt;SUMIFS(원소정보!$D$2:$D$200,원소정보!$F$2:$F$200,AA44)/10000,"검출한계 미만",""),""))</f>
        <v/>
      </c>
      <c r="AA44" s="19" t="str">
        <f aca="false">IF(OR(A44="",C44=""),"",A44&amp;"|"&amp;C44)</f>
        <v/>
      </c>
      <c r="AB44" s="20" t="str">
        <f aca="false">IF(OR(AA44="",Q44=""),"",IF(COUNTIF(기준SD!$E$2:$E$500,AA44)=0,"",IF(COUNTIFS(기준SD!$E$2:$E$500,AA44,기준SD!$C$2:$C$500,"&lt;="&amp;Q44)=0,_xlfn.MINIFS(기준SD!$C$2:$C$500,기준SD!$E$2:$E$500,AA44),_xlfn.MAXIFS(기준SD!$C$2:$C$500,기준SD!$E$2:$E$500,AA44,기준SD!$C$2:$C$500,"&lt;="&amp;Q44))))</f>
        <v/>
      </c>
      <c r="AC44" s="20" t="str">
        <f aca="false">IF(AB44="","",IF(COUNTIFS(기준SD!$E$2:$E$500,AA44,기준SD!$C$2:$C$500,"&gt;="&amp;Q44)=0,_xlfn.MAXIFS(기준SD!$C$2:$C$500,기준SD!$E$2:$E$500,AA44),_xlfn.MINIFS(기준SD!$C$2:$C$500,기준SD!$E$2:$E$500,AA44,기준SD!$C$2:$C$500,"&gt;="&amp;Q44)))</f>
        <v/>
      </c>
      <c r="AD44" s="15" t="str">
        <f aca="false">IF(AB44="","",SUMIFS(기준SD!$D$2:$D$500,기준SD!$E$2:$E$500,AA44,기준SD!$C$2:$C$500,AB44))</f>
        <v/>
      </c>
      <c r="AE44" s="15" t="str">
        <f aca="false">IF(AC44="","",SUMIFS(기준SD!$D$2:$D$500,기준SD!$E$2:$E$500,AA44,기준SD!$C$2:$C$500,AC44))</f>
        <v/>
      </c>
    </row>
    <row r="45" customFormat="false" ht="15" hidden="false" customHeight="false" outlineLevel="0" collapsed="false">
      <c r="A45" s="8"/>
      <c r="B45" s="8"/>
      <c r="C45" s="8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4" t="n">
        <f aca="false">COUNT(F45:O45)</f>
        <v>0</v>
      </c>
      <c r="Q45" s="15" t="str">
        <f aca="false">IF(P45&lt;2,"",AVERAGE(F45:O45))</f>
        <v/>
      </c>
      <c r="R45" s="15" t="str">
        <f aca="false">IF(P45&lt;2,"",STDEV(F45:O45))</f>
        <v/>
      </c>
      <c r="S45" s="16" t="str">
        <f aca="false">IF(P45&lt;2,"",IF(Q45=0,"",R45/Q45*100))</f>
        <v/>
      </c>
      <c r="T45" s="15" t="str">
        <f aca="false">IF(AB45="","",IF(AB45=AC45,AD45,AD45+(AE45-AD45)*(Q45-AB45)/(AC45-AB45)))</f>
        <v/>
      </c>
      <c r="U45" s="16" t="str">
        <f aca="false">IF(OR(T45="",R45=""),"",IF(T45=0,"",R45/T45))</f>
        <v/>
      </c>
      <c r="V45" s="17" t="str">
        <f aca="false">IF(Q45="","",IF(T45="","기준없음",IF(R45&lt;=T45*$C$2,"합격","불합격")))</f>
        <v/>
      </c>
      <c r="W45" s="18" t="str">
        <f aca="false">IF(OR(Q45="",D45=""),"",Q45-D45)</f>
        <v/>
      </c>
      <c r="X45" s="15" t="str">
        <f aca="false">IF(W45="","",IF(E45&lt;&gt;"",E45,IF(T45="","",T45*$C$3)))</f>
        <v/>
      </c>
      <c r="Y45" s="17" t="str">
        <f aca="false">IF(OR(W45="",X45=""),"",IF(ABS(W45)&lt;=X45,"합격","불합격"))</f>
        <v/>
      </c>
      <c r="Z45" s="19" t="str">
        <f aca="false">IF(OR(AA45="",Q45=""),"",IF(AB45="","기준SD 데이터 없음 ",IF(Q45&lt;_xlfn.MINIFS(기준SD!$C$2:$C$500,기준SD!$E$2:$E$500,AA45),"최저 레벨 미만→최저 레벨 SD 적용 ",IF(Q45&gt;_xlfn.MAXIFS(기준SD!$C$2:$C$500,기준SD!$E$2:$E$500,AA45),"최고 레벨 초과→최고 레벨 SD 적용 ","")))&amp;IF(SUMIFS(원소정보!$E$2:$E$200,원소정보!$F$2:$F$200,AA45)&gt;0,IF(Q45&gt;SUMIFS(원소정보!$E$2:$E$200,원소정보!$F$2:$F$200,AA45),"검량범위 초과 ",""),"")&amp;IF(SUMIFS(원소정보!$D$2:$D$200,원소정보!$F$2:$F$200,AA45)&gt;0,IF(Q45&lt;SUMIFS(원소정보!$D$2:$D$200,원소정보!$F$2:$F$200,AA45)/10000,"검출한계 미만",""),""))</f>
        <v/>
      </c>
      <c r="AA45" s="19" t="str">
        <f aca="false">IF(OR(A45="",C45=""),"",A45&amp;"|"&amp;C45)</f>
        <v/>
      </c>
      <c r="AB45" s="20" t="str">
        <f aca="false">IF(OR(AA45="",Q45=""),"",IF(COUNTIF(기준SD!$E$2:$E$500,AA45)=0,"",IF(COUNTIFS(기준SD!$E$2:$E$500,AA45,기준SD!$C$2:$C$500,"&lt;="&amp;Q45)=0,_xlfn.MINIFS(기준SD!$C$2:$C$500,기준SD!$E$2:$E$500,AA45),_xlfn.MAXIFS(기준SD!$C$2:$C$500,기준SD!$E$2:$E$500,AA45,기준SD!$C$2:$C$500,"&lt;="&amp;Q45))))</f>
        <v/>
      </c>
      <c r="AC45" s="20" t="str">
        <f aca="false">IF(AB45="","",IF(COUNTIFS(기준SD!$E$2:$E$500,AA45,기준SD!$C$2:$C$500,"&gt;="&amp;Q45)=0,_xlfn.MAXIFS(기준SD!$C$2:$C$500,기준SD!$E$2:$E$500,AA45),_xlfn.MINIFS(기준SD!$C$2:$C$500,기준SD!$E$2:$E$500,AA45,기준SD!$C$2:$C$500,"&gt;="&amp;Q45)))</f>
        <v/>
      </c>
      <c r="AD45" s="15" t="str">
        <f aca="false">IF(AB45="","",SUMIFS(기준SD!$D$2:$D$500,기준SD!$E$2:$E$500,AA45,기준SD!$C$2:$C$500,AB45))</f>
        <v/>
      </c>
      <c r="AE45" s="15" t="str">
        <f aca="false">IF(AC45="","",SUMIFS(기준SD!$D$2:$D$500,기준SD!$E$2:$E$500,AA45,기준SD!$C$2:$C$500,AC45))</f>
        <v/>
      </c>
    </row>
    <row r="46" customFormat="false" ht="15" hidden="false" customHeight="false" outlineLevel="0" collapsed="false">
      <c r="A46" s="8"/>
      <c r="B46" s="8"/>
      <c r="C46" s="8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4" t="n">
        <f aca="false">COUNT(F46:O46)</f>
        <v>0</v>
      </c>
      <c r="Q46" s="15" t="str">
        <f aca="false">IF(P46&lt;2,"",AVERAGE(F46:O46))</f>
        <v/>
      </c>
      <c r="R46" s="15" t="str">
        <f aca="false">IF(P46&lt;2,"",STDEV(F46:O46))</f>
        <v/>
      </c>
      <c r="S46" s="16" t="str">
        <f aca="false">IF(P46&lt;2,"",IF(Q46=0,"",R46/Q46*100))</f>
        <v/>
      </c>
      <c r="T46" s="15" t="str">
        <f aca="false">IF(AB46="","",IF(AB46=AC46,AD46,AD46+(AE46-AD46)*(Q46-AB46)/(AC46-AB46)))</f>
        <v/>
      </c>
      <c r="U46" s="16" t="str">
        <f aca="false">IF(OR(T46="",R46=""),"",IF(T46=0,"",R46/T46))</f>
        <v/>
      </c>
      <c r="V46" s="17" t="str">
        <f aca="false">IF(Q46="","",IF(T46="","기준없음",IF(R46&lt;=T46*$C$2,"합격","불합격")))</f>
        <v/>
      </c>
      <c r="W46" s="18" t="str">
        <f aca="false">IF(OR(Q46="",D46=""),"",Q46-D46)</f>
        <v/>
      </c>
      <c r="X46" s="15" t="str">
        <f aca="false">IF(W46="","",IF(E46&lt;&gt;"",E46,IF(T46="","",T46*$C$3)))</f>
        <v/>
      </c>
      <c r="Y46" s="17" t="str">
        <f aca="false">IF(OR(W46="",X46=""),"",IF(ABS(W46)&lt;=X46,"합격","불합격"))</f>
        <v/>
      </c>
      <c r="Z46" s="19" t="str">
        <f aca="false">IF(OR(AA46="",Q46=""),"",IF(AB46="","기준SD 데이터 없음 ",IF(Q46&lt;_xlfn.MINIFS(기준SD!$C$2:$C$500,기준SD!$E$2:$E$500,AA46),"최저 레벨 미만→최저 레벨 SD 적용 ",IF(Q46&gt;_xlfn.MAXIFS(기준SD!$C$2:$C$500,기준SD!$E$2:$E$500,AA46),"최고 레벨 초과→최고 레벨 SD 적용 ","")))&amp;IF(SUMIFS(원소정보!$E$2:$E$200,원소정보!$F$2:$F$200,AA46)&gt;0,IF(Q46&gt;SUMIFS(원소정보!$E$2:$E$200,원소정보!$F$2:$F$200,AA46),"검량범위 초과 ",""),"")&amp;IF(SUMIFS(원소정보!$D$2:$D$200,원소정보!$F$2:$F$200,AA46)&gt;0,IF(Q46&lt;SUMIFS(원소정보!$D$2:$D$200,원소정보!$F$2:$F$200,AA46)/10000,"검출한계 미만",""),""))</f>
        <v/>
      </c>
      <c r="AA46" s="19" t="str">
        <f aca="false">IF(OR(A46="",C46=""),"",A46&amp;"|"&amp;C46)</f>
        <v/>
      </c>
      <c r="AB46" s="20" t="str">
        <f aca="false">IF(OR(AA46="",Q46=""),"",IF(COUNTIF(기준SD!$E$2:$E$500,AA46)=0,"",IF(COUNTIFS(기준SD!$E$2:$E$500,AA46,기준SD!$C$2:$C$500,"&lt;="&amp;Q46)=0,_xlfn.MINIFS(기준SD!$C$2:$C$500,기준SD!$E$2:$E$500,AA46),_xlfn.MAXIFS(기준SD!$C$2:$C$500,기준SD!$E$2:$E$500,AA46,기준SD!$C$2:$C$500,"&lt;="&amp;Q46))))</f>
        <v/>
      </c>
      <c r="AC46" s="20" t="str">
        <f aca="false">IF(AB46="","",IF(COUNTIFS(기준SD!$E$2:$E$500,AA46,기준SD!$C$2:$C$500,"&gt;="&amp;Q46)=0,_xlfn.MAXIFS(기준SD!$C$2:$C$500,기준SD!$E$2:$E$500,AA46),_xlfn.MINIFS(기준SD!$C$2:$C$500,기준SD!$E$2:$E$500,AA46,기준SD!$C$2:$C$500,"&gt;="&amp;Q46)))</f>
        <v/>
      </c>
      <c r="AD46" s="15" t="str">
        <f aca="false">IF(AB46="","",SUMIFS(기준SD!$D$2:$D$500,기준SD!$E$2:$E$500,AA46,기준SD!$C$2:$C$500,AB46))</f>
        <v/>
      </c>
      <c r="AE46" s="15" t="str">
        <f aca="false">IF(AC46="","",SUMIFS(기준SD!$D$2:$D$500,기준SD!$E$2:$E$500,AA46,기준SD!$C$2:$C$500,AC46))</f>
        <v/>
      </c>
    </row>
    <row r="47" customFormat="false" ht="15" hidden="false" customHeight="false" outlineLevel="0" collapsed="false">
      <c r="A47" s="8"/>
      <c r="B47" s="8"/>
      <c r="C47" s="8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4" t="n">
        <f aca="false">COUNT(F47:O47)</f>
        <v>0</v>
      </c>
      <c r="Q47" s="15" t="str">
        <f aca="false">IF(P47&lt;2,"",AVERAGE(F47:O47))</f>
        <v/>
      </c>
      <c r="R47" s="15" t="str">
        <f aca="false">IF(P47&lt;2,"",STDEV(F47:O47))</f>
        <v/>
      </c>
      <c r="S47" s="16" t="str">
        <f aca="false">IF(P47&lt;2,"",IF(Q47=0,"",R47/Q47*100))</f>
        <v/>
      </c>
      <c r="T47" s="15" t="str">
        <f aca="false">IF(AB47="","",IF(AB47=AC47,AD47,AD47+(AE47-AD47)*(Q47-AB47)/(AC47-AB47)))</f>
        <v/>
      </c>
      <c r="U47" s="16" t="str">
        <f aca="false">IF(OR(T47="",R47=""),"",IF(T47=0,"",R47/T47))</f>
        <v/>
      </c>
      <c r="V47" s="17" t="str">
        <f aca="false">IF(Q47="","",IF(T47="","기준없음",IF(R47&lt;=T47*$C$2,"합격","불합격")))</f>
        <v/>
      </c>
      <c r="W47" s="18" t="str">
        <f aca="false">IF(OR(Q47="",D47=""),"",Q47-D47)</f>
        <v/>
      </c>
      <c r="X47" s="15" t="str">
        <f aca="false">IF(W47="","",IF(E47&lt;&gt;"",E47,IF(T47="","",T47*$C$3)))</f>
        <v/>
      </c>
      <c r="Y47" s="17" t="str">
        <f aca="false">IF(OR(W47="",X47=""),"",IF(ABS(W47)&lt;=X47,"합격","불합격"))</f>
        <v/>
      </c>
      <c r="Z47" s="19" t="str">
        <f aca="false">IF(OR(AA47="",Q47=""),"",IF(AB47="","기준SD 데이터 없음 ",IF(Q47&lt;_xlfn.MINIFS(기준SD!$C$2:$C$500,기준SD!$E$2:$E$500,AA47),"최저 레벨 미만→최저 레벨 SD 적용 ",IF(Q47&gt;_xlfn.MAXIFS(기준SD!$C$2:$C$500,기준SD!$E$2:$E$500,AA47),"최고 레벨 초과→최고 레벨 SD 적용 ","")))&amp;IF(SUMIFS(원소정보!$E$2:$E$200,원소정보!$F$2:$F$200,AA47)&gt;0,IF(Q47&gt;SUMIFS(원소정보!$E$2:$E$200,원소정보!$F$2:$F$200,AA47),"검량범위 초과 ",""),"")&amp;IF(SUMIFS(원소정보!$D$2:$D$200,원소정보!$F$2:$F$200,AA47)&gt;0,IF(Q47&lt;SUMIFS(원소정보!$D$2:$D$200,원소정보!$F$2:$F$200,AA47)/10000,"검출한계 미만",""),""))</f>
        <v/>
      </c>
      <c r="AA47" s="19" t="str">
        <f aca="false">IF(OR(A47="",C47=""),"",A47&amp;"|"&amp;C47)</f>
        <v/>
      </c>
      <c r="AB47" s="20" t="str">
        <f aca="false">IF(OR(AA47="",Q47=""),"",IF(COUNTIF(기준SD!$E$2:$E$500,AA47)=0,"",IF(COUNTIFS(기준SD!$E$2:$E$500,AA47,기준SD!$C$2:$C$500,"&lt;="&amp;Q47)=0,_xlfn.MINIFS(기준SD!$C$2:$C$500,기준SD!$E$2:$E$500,AA47),_xlfn.MAXIFS(기준SD!$C$2:$C$500,기준SD!$E$2:$E$500,AA47,기준SD!$C$2:$C$500,"&lt;="&amp;Q47))))</f>
        <v/>
      </c>
      <c r="AC47" s="20" t="str">
        <f aca="false">IF(AB47="","",IF(COUNTIFS(기준SD!$E$2:$E$500,AA47,기준SD!$C$2:$C$500,"&gt;="&amp;Q47)=0,_xlfn.MAXIFS(기준SD!$C$2:$C$500,기준SD!$E$2:$E$500,AA47),_xlfn.MINIFS(기준SD!$C$2:$C$500,기준SD!$E$2:$E$500,AA47,기준SD!$C$2:$C$500,"&gt;="&amp;Q47)))</f>
        <v/>
      </c>
      <c r="AD47" s="15" t="str">
        <f aca="false">IF(AB47="","",SUMIFS(기준SD!$D$2:$D$500,기준SD!$E$2:$E$500,AA47,기준SD!$C$2:$C$500,AB47))</f>
        <v/>
      </c>
      <c r="AE47" s="15" t="str">
        <f aca="false">IF(AC47="","",SUMIFS(기준SD!$D$2:$D$500,기준SD!$E$2:$E$500,AA47,기준SD!$C$2:$C$500,AC47))</f>
        <v/>
      </c>
    </row>
    <row r="48" customFormat="false" ht="15" hidden="false" customHeight="false" outlineLevel="0" collapsed="false">
      <c r="A48" s="8"/>
      <c r="B48" s="8"/>
      <c r="C48" s="8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4" t="n">
        <f aca="false">COUNT(F48:O48)</f>
        <v>0</v>
      </c>
      <c r="Q48" s="15" t="str">
        <f aca="false">IF(P48&lt;2,"",AVERAGE(F48:O48))</f>
        <v/>
      </c>
      <c r="R48" s="15" t="str">
        <f aca="false">IF(P48&lt;2,"",STDEV(F48:O48))</f>
        <v/>
      </c>
      <c r="S48" s="16" t="str">
        <f aca="false">IF(P48&lt;2,"",IF(Q48=0,"",R48/Q48*100))</f>
        <v/>
      </c>
      <c r="T48" s="15" t="str">
        <f aca="false">IF(AB48="","",IF(AB48=AC48,AD48,AD48+(AE48-AD48)*(Q48-AB48)/(AC48-AB48)))</f>
        <v/>
      </c>
      <c r="U48" s="16" t="str">
        <f aca="false">IF(OR(T48="",R48=""),"",IF(T48=0,"",R48/T48))</f>
        <v/>
      </c>
      <c r="V48" s="17" t="str">
        <f aca="false">IF(Q48="","",IF(T48="","기준없음",IF(R48&lt;=T48*$C$2,"합격","불합격")))</f>
        <v/>
      </c>
      <c r="W48" s="18" t="str">
        <f aca="false">IF(OR(Q48="",D48=""),"",Q48-D48)</f>
        <v/>
      </c>
      <c r="X48" s="15" t="str">
        <f aca="false">IF(W48="","",IF(E48&lt;&gt;"",E48,IF(T48="","",T48*$C$3)))</f>
        <v/>
      </c>
      <c r="Y48" s="17" t="str">
        <f aca="false">IF(OR(W48="",X48=""),"",IF(ABS(W48)&lt;=X48,"합격","불합격"))</f>
        <v/>
      </c>
      <c r="Z48" s="19" t="str">
        <f aca="false">IF(OR(AA48="",Q48=""),"",IF(AB48="","기준SD 데이터 없음 ",IF(Q48&lt;_xlfn.MINIFS(기준SD!$C$2:$C$500,기준SD!$E$2:$E$500,AA48),"최저 레벨 미만→최저 레벨 SD 적용 ",IF(Q48&gt;_xlfn.MAXIFS(기준SD!$C$2:$C$500,기준SD!$E$2:$E$500,AA48),"최고 레벨 초과→최고 레벨 SD 적용 ","")))&amp;IF(SUMIFS(원소정보!$E$2:$E$200,원소정보!$F$2:$F$200,AA48)&gt;0,IF(Q48&gt;SUMIFS(원소정보!$E$2:$E$200,원소정보!$F$2:$F$200,AA48),"검량범위 초과 ",""),"")&amp;IF(SUMIFS(원소정보!$D$2:$D$200,원소정보!$F$2:$F$200,AA48)&gt;0,IF(Q48&lt;SUMIFS(원소정보!$D$2:$D$200,원소정보!$F$2:$F$200,AA48)/10000,"검출한계 미만",""),""))</f>
        <v/>
      </c>
      <c r="AA48" s="19" t="str">
        <f aca="false">IF(OR(A48="",C48=""),"",A48&amp;"|"&amp;C48)</f>
        <v/>
      </c>
      <c r="AB48" s="20" t="str">
        <f aca="false">IF(OR(AA48="",Q48=""),"",IF(COUNTIF(기준SD!$E$2:$E$500,AA48)=0,"",IF(COUNTIFS(기준SD!$E$2:$E$500,AA48,기준SD!$C$2:$C$500,"&lt;="&amp;Q48)=0,_xlfn.MINIFS(기준SD!$C$2:$C$500,기준SD!$E$2:$E$500,AA48),_xlfn.MAXIFS(기준SD!$C$2:$C$500,기준SD!$E$2:$E$500,AA48,기준SD!$C$2:$C$500,"&lt;="&amp;Q48))))</f>
        <v/>
      </c>
      <c r="AC48" s="20" t="str">
        <f aca="false">IF(AB48="","",IF(COUNTIFS(기준SD!$E$2:$E$500,AA48,기준SD!$C$2:$C$500,"&gt;="&amp;Q48)=0,_xlfn.MAXIFS(기준SD!$C$2:$C$500,기준SD!$E$2:$E$500,AA48),_xlfn.MINIFS(기준SD!$C$2:$C$500,기준SD!$E$2:$E$500,AA48,기준SD!$C$2:$C$500,"&gt;="&amp;Q48)))</f>
        <v/>
      </c>
      <c r="AD48" s="15" t="str">
        <f aca="false">IF(AB48="","",SUMIFS(기준SD!$D$2:$D$500,기준SD!$E$2:$E$500,AA48,기준SD!$C$2:$C$500,AB48))</f>
        <v/>
      </c>
      <c r="AE48" s="15" t="str">
        <f aca="false">IF(AC48="","",SUMIFS(기준SD!$D$2:$D$500,기준SD!$E$2:$E$500,AA48,기준SD!$C$2:$C$500,AC48))</f>
        <v/>
      </c>
    </row>
    <row r="49" customFormat="false" ht="15" hidden="false" customHeight="false" outlineLevel="0" collapsed="false">
      <c r="A49" s="8"/>
      <c r="B49" s="8"/>
      <c r="C49" s="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4" t="n">
        <f aca="false">COUNT(F49:O49)</f>
        <v>0</v>
      </c>
      <c r="Q49" s="15" t="str">
        <f aca="false">IF(P49&lt;2,"",AVERAGE(F49:O49))</f>
        <v/>
      </c>
      <c r="R49" s="15" t="str">
        <f aca="false">IF(P49&lt;2,"",STDEV(F49:O49))</f>
        <v/>
      </c>
      <c r="S49" s="16" t="str">
        <f aca="false">IF(P49&lt;2,"",IF(Q49=0,"",R49/Q49*100))</f>
        <v/>
      </c>
      <c r="T49" s="15" t="str">
        <f aca="false">IF(AB49="","",IF(AB49=AC49,AD49,AD49+(AE49-AD49)*(Q49-AB49)/(AC49-AB49)))</f>
        <v/>
      </c>
      <c r="U49" s="16" t="str">
        <f aca="false">IF(OR(T49="",R49=""),"",IF(T49=0,"",R49/T49))</f>
        <v/>
      </c>
      <c r="V49" s="17" t="str">
        <f aca="false">IF(Q49="","",IF(T49="","기준없음",IF(R49&lt;=T49*$C$2,"합격","불합격")))</f>
        <v/>
      </c>
      <c r="W49" s="18" t="str">
        <f aca="false">IF(OR(Q49="",D49=""),"",Q49-D49)</f>
        <v/>
      </c>
      <c r="X49" s="15" t="str">
        <f aca="false">IF(W49="","",IF(E49&lt;&gt;"",E49,IF(T49="","",T49*$C$3)))</f>
        <v/>
      </c>
      <c r="Y49" s="17" t="str">
        <f aca="false">IF(OR(W49="",X49=""),"",IF(ABS(W49)&lt;=X49,"합격","불합격"))</f>
        <v/>
      </c>
      <c r="Z49" s="19" t="str">
        <f aca="false">IF(OR(AA49="",Q49=""),"",IF(AB49="","기준SD 데이터 없음 ",IF(Q49&lt;_xlfn.MINIFS(기준SD!$C$2:$C$500,기준SD!$E$2:$E$500,AA49),"최저 레벨 미만→최저 레벨 SD 적용 ",IF(Q49&gt;_xlfn.MAXIFS(기준SD!$C$2:$C$500,기준SD!$E$2:$E$500,AA49),"최고 레벨 초과→최고 레벨 SD 적용 ","")))&amp;IF(SUMIFS(원소정보!$E$2:$E$200,원소정보!$F$2:$F$200,AA49)&gt;0,IF(Q49&gt;SUMIFS(원소정보!$E$2:$E$200,원소정보!$F$2:$F$200,AA49),"검량범위 초과 ",""),"")&amp;IF(SUMIFS(원소정보!$D$2:$D$200,원소정보!$F$2:$F$200,AA49)&gt;0,IF(Q49&lt;SUMIFS(원소정보!$D$2:$D$200,원소정보!$F$2:$F$200,AA49)/10000,"검출한계 미만",""),""))</f>
        <v/>
      </c>
      <c r="AA49" s="19" t="str">
        <f aca="false">IF(OR(A49="",C49=""),"",A49&amp;"|"&amp;C49)</f>
        <v/>
      </c>
      <c r="AB49" s="20" t="str">
        <f aca="false">IF(OR(AA49="",Q49=""),"",IF(COUNTIF(기준SD!$E$2:$E$500,AA49)=0,"",IF(COUNTIFS(기준SD!$E$2:$E$500,AA49,기준SD!$C$2:$C$500,"&lt;="&amp;Q49)=0,_xlfn.MINIFS(기준SD!$C$2:$C$500,기준SD!$E$2:$E$500,AA49),_xlfn.MAXIFS(기준SD!$C$2:$C$500,기준SD!$E$2:$E$500,AA49,기준SD!$C$2:$C$500,"&lt;="&amp;Q49))))</f>
        <v/>
      </c>
      <c r="AC49" s="20" t="str">
        <f aca="false">IF(AB49="","",IF(COUNTIFS(기준SD!$E$2:$E$500,AA49,기준SD!$C$2:$C$500,"&gt;="&amp;Q49)=0,_xlfn.MAXIFS(기준SD!$C$2:$C$500,기준SD!$E$2:$E$500,AA49),_xlfn.MINIFS(기준SD!$C$2:$C$500,기준SD!$E$2:$E$500,AA49,기준SD!$C$2:$C$500,"&gt;="&amp;Q49)))</f>
        <v/>
      </c>
      <c r="AD49" s="15" t="str">
        <f aca="false">IF(AB49="","",SUMIFS(기준SD!$D$2:$D$500,기준SD!$E$2:$E$500,AA49,기준SD!$C$2:$C$500,AB49))</f>
        <v/>
      </c>
      <c r="AE49" s="15" t="str">
        <f aca="false">IF(AC49="","",SUMIFS(기준SD!$D$2:$D$500,기준SD!$E$2:$E$500,AA49,기준SD!$C$2:$C$500,AC49))</f>
        <v/>
      </c>
    </row>
    <row r="50" customFormat="false" ht="15" hidden="false" customHeight="false" outlineLevel="0" collapsed="false">
      <c r="A50" s="8"/>
      <c r="B50" s="8"/>
      <c r="C50" s="8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 t="n">
        <f aca="false">COUNT(F50:O50)</f>
        <v>0</v>
      </c>
      <c r="Q50" s="15" t="str">
        <f aca="false">IF(P50&lt;2,"",AVERAGE(F50:O50))</f>
        <v/>
      </c>
      <c r="R50" s="15" t="str">
        <f aca="false">IF(P50&lt;2,"",STDEV(F50:O50))</f>
        <v/>
      </c>
      <c r="S50" s="16" t="str">
        <f aca="false">IF(P50&lt;2,"",IF(Q50=0,"",R50/Q50*100))</f>
        <v/>
      </c>
      <c r="T50" s="15" t="str">
        <f aca="false">IF(AB50="","",IF(AB50=AC50,AD50,AD50+(AE50-AD50)*(Q50-AB50)/(AC50-AB50)))</f>
        <v/>
      </c>
      <c r="U50" s="16" t="str">
        <f aca="false">IF(OR(T50="",R50=""),"",IF(T50=0,"",R50/T50))</f>
        <v/>
      </c>
      <c r="V50" s="17" t="str">
        <f aca="false">IF(Q50="","",IF(T50="","기준없음",IF(R50&lt;=T50*$C$2,"합격","불합격")))</f>
        <v/>
      </c>
      <c r="W50" s="18" t="str">
        <f aca="false">IF(OR(Q50="",D50=""),"",Q50-D50)</f>
        <v/>
      </c>
      <c r="X50" s="15" t="str">
        <f aca="false">IF(W50="","",IF(E50&lt;&gt;"",E50,IF(T50="","",T50*$C$3)))</f>
        <v/>
      </c>
      <c r="Y50" s="17" t="str">
        <f aca="false">IF(OR(W50="",X50=""),"",IF(ABS(W50)&lt;=X50,"합격","불합격"))</f>
        <v/>
      </c>
      <c r="Z50" s="19" t="str">
        <f aca="false">IF(OR(AA50="",Q50=""),"",IF(AB50="","기준SD 데이터 없음 ",IF(Q50&lt;_xlfn.MINIFS(기준SD!$C$2:$C$500,기준SD!$E$2:$E$500,AA50),"최저 레벨 미만→최저 레벨 SD 적용 ",IF(Q50&gt;_xlfn.MAXIFS(기준SD!$C$2:$C$500,기준SD!$E$2:$E$500,AA50),"최고 레벨 초과→최고 레벨 SD 적용 ","")))&amp;IF(SUMIFS(원소정보!$E$2:$E$200,원소정보!$F$2:$F$200,AA50)&gt;0,IF(Q50&gt;SUMIFS(원소정보!$E$2:$E$200,원소정보!$F$2:$F$200,AA50),"검량범위 초과 ",""),"")&amp;IF(SUMIFS(원소정보!$D$2:$D$200,원소정보!$F$2:$F$200,AA50)&gt;0,IF(Q50&lt;SUMIFS(원소정보!$D$2:$D$200,원소정보!$F$2:$F$200,AA50)/10000,"검출한계 미만",""),""))</f>
        <v/>
      </c>
      <c r="AA50" s="19" t="str">
        <f aca="false">IF(OR(A50="",C50=""),"",A50&amp;"|"&amp;C50)</f>
        <v/>
      </c>
      <c r="AB50" s="20" t="str">
        <f aca="false">IF(OR(AA50="",Q50=""),"",IF(COUNTIF(기준SD!$E$2:$E$500,AA50)=0,"",IF(COUNTIFS(기준SD!$E$2:$E$500,AA50,기준SD!$C$2:$C$500,"&lt;="&amp;Q50)=0,_xlfn.MINIFS(기준SD!$C$2:$C$500,기준SD!$E$2:$E$500,AA50),_xlfn.MAXIFS(기준SD!$C$2:$C$500,기준SD!$E$2:$E$500,AA50,기준SD!$C$2:$C$500,"&lt;="&amp;Q50))))</f>
        <v/>
      </c>
      <c r="AC50" s="20" t="str">
        <f aca="false">IF(AB50="","",IF(COUNTIFS(기준SD!$E$2:$E$500,AA50,기준SD!$C$2:$C$500,"&gt;="&amp;Q50)=0,_xlfn.MAXIFS(기준SD!$C$2:$C$500,기준SD!$E$2:$E$500,AA50),_xlfn.MINIFS(기준SD!$C$2:$C$500,기준SD!$E$2:$E$500,AA50,기준SD!$C$2:$C$500,"&gt;="&amp;Q50)))</f>
        <v/>
      </c>
      <c r="AD50" s="15" t="str">
        <f aca="false">IF(AB50="","",SUMIFS(기준SD!$D$2:$D$500,기준SD!$E$2:$E$500,AA50,기준SD!$C$2:$C$500,AB50))</f>
        <v/>
      </c>
      <c r="AE50" s="15" t="str">
        <f aca="false">IF(AC50="","",SUMIFS(기준SD!$D$2:$D$500,기준SD!$E$2:$E$500,AA50,기준SD!$C$2:$C$500,AC50))</f>
        <v/>
      </c>
    </row>
    <row r="51" customFormat="false" ht="15" hidden="false" customHeight="false" outlineLevel="0" collapsed="false">
      <c r="A51" s="8"/>
      <c r="B51" s="8"/>
      <c r="C51" s="8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4" t="n">
        <f aca="false">COUNT(F51:O51)</f>
        <v>0</v>
      </c>
      <c r="Q51" s="15" t="str">
        <f aca="false">IF(P51&lt;2,"",AVERAGE(F51:O51))</f>
        <v/>
      </c>
      <c r="R51" s="15" t="str">
        <f aca="false">IF(P51&lt;2,"",STDEV(F51:O51))</f>
        <v/>
      </c>
      <c r="S51" s="16" t="str">
        <f aca="false">IF(P51&lt;2,"",IF(Q51=0,"",R51/Q51*100))</f>
        <v/>
      </c>
      <c r="T51" s="15" t="str">
        <f aca="false">IF(AB51="","",IF(AB51=AC51,AD51,AD51+(AE51-AD51)*(Q51-AB51)/(AC51-AB51)))</f>
        <v/>
      </c>
      <c r="U51" s="16" t="str">
        <f aca="false">IF(OR(T51="",R51=""),"",IF(T51=0,"",R51/T51))</f>
        <v/>
      </c>
      <c r="V51" s="17" t="str">
        <f aca="false">IF(Q51="","",IF(T51="","기준없음",IF(R51&lt;=T51*$C$2,"합격","불합격")))</f>
        <v/>
      </c>
      <c r="W51" s="18" t="str">
        <f aca="false">IF(OR(Q51="",D51=""),"",Q51-D51)</f>
        <v/>
      </c>
      <c r="X51" s="15" t="str">
        <f aca="false">IF(W51="","",IF(E51&lt;&gt;"",E51,IF(T51="","",T51*$C$3)))</f>
        <v/>
      </c>
      <c r="Y51" s="17" t="str">
        <f aca="false">IF(OR(W51="",X51=""),"",IF(ABS(W51)&lt;=X51,"합격","불합격"))</f>
        <v/>
      </c>
      <c r="Z51" s="19" t="str">
        <f aca="false">IF(OR(AA51="",Q51=""),"",IF(AB51="","기준SD 데이터 없음 ",IF(Q51&lt;_xlfn.MINIFS(기준SD!$C$2:$C$500,기준SD!$E$2:$E$500,AA51),"최저 레벨 미만→최저 레벨 SD 적용 ",IF(Q51&gt;_xlfn.MAXIFS(기준SD!$C$2:$C$500,기준SD!$E$2:$E$500,AA51),"최고 레벨 초과→최고 레벨 SD 적용 ","")))&amp;IF(SUMIFS(원소정보!$E$2:$E$200,원소정보!$F$2:$F$200,AA51)&gt;0,IF(Q51&gt;SUMIFS(원소정보!$E$2:$E$200,원소정보!$F$2:$F$200,AA51),"검량범위 초과 ",""),"")&amp;IF(SUMIFS(원소정보!$D$2:$D$200,원소정보!$F$2:$F$200,AA51)&gt;0,IF(Q51&lt;SUMIFS(원소정보!$D$2:$D$200,원소정보!$F$2:$F$200,AA51)/10000,"검출한계 미만",""),""))</f>
        <v/>
      </c>
      <c r="AA51" s="19" t="str">
        <f aca="false">IF(OR(A51="",C51=""),"",A51&amp;"|"&amp;C51)</f>
        <v/>
      </c>
      <c r="AB51" s="20" t="str">
        <f aca="false">IF(OR(AA51="",Q51=""),"",IF(COUNTIF(기준SD!$E$2:$E$500,AA51)=0,"",IF(COUNTIFS(기준SD!$E$2:$E$500,AA51,기준SD!$C$2:$C$500,"&lt;="&amp;Q51)=0,_xlfn.MINIFS(기준SD!$C$2:$C$500,기준SD!$E$2:$E$500,AA51),_xlfn.MAXIFS(기준SD!$C$2:$C$500,기준SD!$E$2:$E$500,AA51,기준SD!$C$2:$C$500,"&lt;="&amp;Q51))))</f>
        <v/>
      </c>
      <c r="AC51" s="20" t="str">
        <f aca="false">IF(AB51="","",IF(COUNTIFS(기준SD!$E$2:$E$500,AA51,기준SD!$C$2:$C$500,"&gt;="&amp;Q51)=0,_xlfn.MAXIFS(기준SD!$C$2:$C$500,기준SD!$E$2:$E$500,AA51),_xlfn.MINIFS(기준SD!$C$2:$C$500,기준SD!$E$2:$E$500,AA51,기준SD!$C$2:$C$500,"&gt;="&amp;Q51)))</f>
        <v/>
      </c>
      <c r="AD51" s="15" t="str">
        <f aca="false">IF(AB51="","",SUMIFS(기준SD!$D$2:$D$500,기준SD!$E$2:$E$500,AA51,기준SD!$C$2:$C$500,AB51))</f>
        <v/>
      </c>
      <c r="AE51" s="15" t="str">
        <f aca="false">IF(AC51="","",SUMIFS(기준SD!$D$2:$D$500,기준SD!$E$2:$E$500,AA51,기준SD!$C$2:$C$500,AC51))</f>
        <v/>
      </c>
    </row>
    <row r="52" customFormat="false" ht="15" hidden="false" customHeight="false" outlineLevel="0" collapsed="false">
      <c r="A52" s="8"/>
      <c r="B52" s="8"/>
      <c r="C52" s="8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 t="n">
        <f aca="false">COUNT(F52:O52)</f>
        <v>0</v>
      </c>
      <c r="Q52" s="15" t="str">
        <f aca="false">IF(P52&lt;2,"",AVERAGE(F52:O52))</f>
        <v/>
      </c>
      <c r="R52" s="15" t="str">
        <f aca="false">IF(P52&lt;2,"",STDEV(F52:O52))</f>
        <v/>
      </c>
      <c r="S52" s="16" t="str">
        <f aca="false">IF(P52&lt;2,"",IF(Q52=0,"",R52/Q52*100))</f>
        <v/>
      </c>
      <c r="T52" s="15" t="str">
        <f aca="false">IF(AB52="","",IF(AB52=AC52,AD52,AD52+(AE52-AD52)*(Q52-AB52)/(AC52-AB52)))</f>
        <v/>
      </c>
      <c r="U52" s="16" t="str">
        <f aca="false">IF(OR(T52="",R52=""),"",IF(T52=0,"",R52/T52))</f>
        <v/>
      </c>
      <c r="V52" s="17" t="str">
        <f aca="false">IF(Q52="","",IF(T52="","기준없음",IF(R52&lt;=T52*$C$2,"합격","불합격")))</f>
        <v/>
      </c>
      <c r="W52" s="18" t="str">
        <f aca="false">IF(OR(Q52="",D52=""),"",Q52-D52)</f>
        <v/>
      </c>
      <c r="X52" s="15" t="str">
        <f aca="false">IF(W52="","",IF(E52&lt;&gt;"",E52,IF(T52="","",T52*$C$3)))</f>
        <v/>
      </c>
      <c r="Y52" s="17" t="str">
        <f aca="false">IF(OR(W52="",X52=""),"",IF(ABS(W52)&lt;=X52,"합격","불합격"))</f>
        <v/>
      </c>
      <c r="Z52" s="19" t="str">
        <f aca="false">IF(OR(AA52="",Q52=""),"",IF(AB52="","기준SD 데이터 없음 ",IF(Q52&lt;_xlfn.MINIFS(기준SD!$C$2:$C$500,기준SD!$E$2:$E$500,AA52),"최저 레벨 미만→최저 레벨 SD 적용 ",IF(Q52&gt;_xlfn.MAXIFS(기준SD!$C$2:$C$500,기준SD!$E$2:$E$500,AA52),"최고 레벨 초과→최고 레벨 SD 적용 ","")))&amp;IF(SUMIFS(원소정보!$E$2:$E$200,원소정보!$F$2:$F$200,AA52)&gt;0,IF(Q52&gt;SUMIFS(원소정보!$E$2:$E$200,원소정보!$F$2:$F$200,AA52),"검량범위 초과 ",""),"")&amp;IF(SUMIFS(원소정보!$D$2:$D$200,원소정보!$F$2:$F$200,AA52)&gt;0,IF(Q52&lt;SUMIFS(원소정보!$D$2:$D$200,원소정보!$F$2:$F$200,AA52)/10000,"검출한계 미만",""),""))</f>
        <v/>
      </c>
      <c r="AA52" s="19" t="str">
        <f aca="false">IF(OR(A52="",C52=""),"",A52&amp;"|"&amp;C52)</f>
        <v/>
      </c>
      <c r="AB52" s="20" t="str">
        <f aca="false">IF(OR(AA52="",Q52=""),"",IF(COUNTIF(기준SD!$E$2:$E$500,AA52)=0,"",IF(COUNTIFS(기준SD!$E$2:$E$500,AA52,기준SD!$C$2:$C$500,"&lt;="&amp;Q52)=0,_xlfn.MINIFS(기준SD!$C$2:$C$500,기준SD!$E$2:$E$500,AA52),_xlfn.MAXIFS(기준SD!$C$2:$C$500,기준SD!$E$2:$E$500,AA52,기준SD!$C$2:$C$500,"&lt;="&amp;Q52))))</f>
        <v/>
      </c>
      <c r="AC52" s="20" t="str">
        <f aca="false">IF(AB52="","",IF(COUNTIFS(기준SD!$E$2:$E$500,AA52,기준SD!$C$2:$C$500,"&gt;="&amp;Q52)=0,_xlfn.MAXIFS(기준SD!$C$2:$C$500,기준SD!$E$2:$E$500,AA52),_xlfn.MINIFS(기준SD!$C$2:$C$500,기준SD!$E$2:$E$500,AA52,기준SD!$C$2:$C$500,"&gt;="&amp;Q52)))</f>
        <v/>
      </c>
      <c r="AD52" s="15" t="str">
        <f aca="false">IF(AB52="","",SUMIFS(기준SD!$D$2:$D$500,기준SD!$E$2:$E$500,AA52,기준SD!$C$2:$C$500,AB52))</f>
        <v/>
      </c>
      <c r="AE52" s="15" t="str">
        <f aca="false">IF(AC52="","",SUMIFS(기준SD!$D$2:$D$500,기준SD!$E$2:$E$500,AA52,기준SD!$C$2:$C$500,AC52))</f>
        <v/>
      </c>
    </row>
    <row r="53" customFormat="false" ht="15" hidden="false" customHeight="false" outlineLevel="0" collapsed="false">
      <c r="A53" s="8"/>
      <c r="B53" s="8"/>
      <c r="C53" s="8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4" t="n">
        <f aca="false">COUNT(F53:O53)</f>
        <v>0</v>
      </c>
      <c r="Q53" s="15" t="str">
        <f aca="false">IF(P53&lt;2,"",AVERAGE(F53:O53))</f>
        <v/>
      </c>
      <c r="R53" s="15" t="str">
        <f aca="false">IF(P53&lt;2,"",STDEV(F53:O53))</f>
        <v/>
      </c>
      <c r="S53" s="16" t="str">
        <f aca="false">IF(P53&lt;2,"",IF(Q53=0,"",R53/Q53*100))</f>
        <v/>
      </c>
      <c r="T53" s="15" t="str">
        <f aca="false">IF(AB53="","",IF(AB53=AC53,AD53,AD53+(AE53-AD53)*(Q53-AB53)/(AC53-AB53)))</f>
        <v/>
      </c>
      <c r="U53" s="16" t="str">
        <f aca="false">IF(OR(T53="",R53=""),"",IF(T53=0,"",R53/T53))</f>
        <v/>
      </c>
      <c r="V53" s="17" t="str">
        <f aca="false">IF(Q53="","",IF(T53="","기준없음",IF(R53&lt;=T53*$C$2,"합격","불합격")))</f>
        <v/>
      </c>
      <c r="W53" s="18" t="str">
        <f aca="false">IF(OR(Q53="",D53=""),"",Q53-D53)</f>
        <v/>
      </c>
      <c r="X53" s="15" t="str">
        <f aca="false">IF(W53="","",IF(E53&lt;&gt;"",E53,IF(T53="","",T53*$C$3)))</f>
        <v/>
      </c>
      <c r="Y53" s="17" t="str">
        <f aca="false">IF(OR(W53="",X53=""),"",IF(ABS(W53)&lt;=X53,"합격","불합격"))</f>
        <v/>
      </c>
      <c r="Z53" s="19" t="str">
        <f aca="false">IF(OR(AA53="",Q53=""),"",IF(AB53="","기준SD 데이터 없음 ",IF(Q53&lt;_xlfn.MINIFS(기준SD!$C$2:$C$500,기준SD!$E$2:$E$500,AA53),"최저 레벨 미만→최저 레벨 SD 적용 ",IF(Q53&gt;_xlfn.MAXIFS(기준SD!$C$2:$C$500,기준SD!$E$2:$E$500,AA53),"최고 레벨 초과→최고 레벨 SD 적용 ","")))&amp;IF(SUMIFS(원소정보!$E$2:$E$200,원소정보!$F$2:$F$200,AA53)&gt;0,IF(Q53&gt;SUMIFS(원소정보!$E$2:$E$200,원소정보!$F$2:$F$200,AA53),"검량범위 초과 ",""),"")&amp;IF(SUMIFS(원소정보!$D$2:$D$200,원소정보!$F$2:$F$200,AA53)&gt;0,IF(Q53&lt;SUMIFS(원소정보!$D$2:$D$200,원소정보!$F$2:$F$200,AA53)/10000,"검출한계 미만",""),""))</f>
        <v/>
      </c>
      <c r="AA53" s="19" t="str">
        <f aca="false">IF(OR(A53="",C53=""),"",A53&amp;"|"&amp;C53)</f>
        <v/>
      </c>
      <c r="AB53" s="20" t="str">
        <f aca="false">IF(OR(AA53="",Q53=""),"",IF(COUNTIF(기준SD!$E$2:$E$500,AA53)=0,"",IF(COUNTIFS(기준SD!$E$2:$E$500,AA53,기준SD!$C$2:$C$500,"&lt;="&amp;Q53)=0,_xlfn.MINIFS(기준SD!$C$2:$C$500,기준SD!$E$2:$E$500,AA53),_xlfn.MAXIFS(기준SD!$C$2:$C$500,기준SD!$E$2:$E$500,AA53,기준SD!$C$2:$C$500,"&lt;="&amp;Q53))))</f>
        <v/>
      </c>
      <c r="AC53" s="20" t="str">
        <f aca="false">IF(AB53="","",IF(COUNTIFS(기준SD!$E$2:$E$500,AA53,기준SD!$C$2:$C$500,"&gt;="&amp;Q53)=0,_xlfn.MAXIFS(기준SD!$C$2:$C$500,기준SD!$E$2:$E$500,AA53),_xlfn.MINIFS(기준SD!$C$2:$C$500,기준SD!$E$2:$E$500,AA53,기준SD!$C$2:$C$500,"&gt;="&amp;Q53)))</f>
        <v/>
      </c>
      <c r="AD53" s="15" t="str">
        <f aca="false">IF(AB53="","",SUMIFS(기준SD!$D$2:$D$500,기준SD!$E$2:$E$500,AA53,기준SD!$C$2:$C$500,AB53))</f>
        <v/>
      </c>
      <c r="AE53" s="15" t="str">
        <f aca="false">IF(AC53="","",SUMIFS(기준SD!$D$2:$D$500,기준SD!$E$2:$E$500,AA53,기준SD!$C$2:$C$500,AC53))</f>
        <v/>
      </c>
    </row>
    <row r="54" customFormat="false" ht="15" hidden="false" customHeight="false" outlineLevel="0" collapsed="false">
      <c r="A54" s="8"/>
      <c r="B54" s="8"/>
      <c r="C54" s="8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 t="n">
        <f aca="false">COUNT(F54:O54)</f>
        <v>0</v>
      </c>
      <c r="Q54" s="15" t="str">
        <f aca="false">IF(P54&lt;2,"",AVERAGE(F54:O54))</f>
        <v/>
      </c>
      <c r="R54" s="15" t="str">
        <f aca="false">IF(P54&lt;2,"",STDEV(F54:O54))</f>
        <v/>
      </c>
      <c r="S54" s="16" t="str">
        <f aca="false">IF(P54&lt;2,"",IF(Q54=0,"",R54/Q54*100))</f>
        <v/>
      </c>
      <c r="T54" s="15" t="str">
        <f aca="false">IF(AB54="","",IF(AB54=AC54,AD54,AD54+(AE54-AD54)*(Q54-AB54)/(AC54-AB54)))</f>
        <v/>
      </c>
      <c r="U54" s="16" t="str">
        <f aca="false">IF(OR(T54="",R54=""),"",IF(T54=0,"",R54/T54))</f>
        <v/>
      </c>
      <c r="V54" s="17" t="str">
        <f aca="false">IF(Q54="","",IF(T54="","기준없음",IF(R54&lt;=T54*$C$2,"합격","불합격")))</f>
        <v/>
      </c>
      <c r="W54" s="18" t="str">
        <f aca="false">IF(OR(Q54="",D54=""),"",Q54-D54)</f>
        <v/>
      </c>
      <c r="X54" s="15" t="str">
        <f aca="false">IF(W54="","",IF(E54&lt;&gt;"",E54,IF(T54="","",T54*$C$3)))</f>
        <v/>
      </c>
      <c r="Y54" s="17" t="str">
        <f aca="false">IF(OR(W54="",X54=""),"",IF(ABS(W54)&lt;=X54,"합격","불합격"))</f>
        <v/>
      </c>
      <c r="Z54" s="19" t="str">
        <f aca="false">IF(OR(AA54="",Q54=""),"",IF(AB54="","기준SD 데이터 없음 ",IF(Q54&lt;_xlfn.MINIFS(기준SD!$C$2:$C$500,기준SD!$E$2:$E$500,AA54),"최저 레벨 미만→최저 레벨 SD 적용 ",IF(Q54&gt;_xlfn.MAXIFS(기준SD!$C$2:$C$500,기준SD!$E$2:$E$500,AA54),"최고 레벨 초과→최고 레벨 SD 적용 ","")))&amp;IF(SUMIFS(원소정보!$E$2:$E$200,원소정보!$F$2:$F$200,AA54)&gt;0,IF(Q54&gt;SUMIFS(원소정보!$E$2:$E$200,원소정보!$F$2:$F$200,AA54),"검량범위 초과 ",""),"")&amp;IF(SUMIFS(원소정보!$D$2:$D$200,원소정보!$F$2:$F$200,AA54)&gt;0,IF(Q54&lt;SUMIFS(원소정보!$D$2:$D$200,원소정보!$F$2:$F$200,AA54)/10000,"검출한계 미만",""),""))</f>
        <v/>
      </c>
      <c r="AA54" s="19" t="str">
        <f aca="false">IF(OR(A54="",C54=""),"",A54&amp;"|"&amp;C54)</f>
        <v/>
      </c>
      <c r="AB54" s="20" t="str">
        <f aca="false">IF(OR(AA54="",Q54=""),"",IF(COUNTIF(기준SD!$E$2:$E$500,AA54)=0,"",IF(COUNTIFS(기준SD!$E$2:$E$500,AA54,기준SD!$C$2:$C$500,"&lt;="&amp;Q54)=0,_xlfn.MINIFS(기준SD!$C$2:$C$500,기준SD!$E$2:$E$500,AA54),_xlfn.MAXIFS(기준SD!$C$2:$C$500,기준SD!$E$2:$E$500,AA54,기준SD!$C$2:$C$500,"&lt;="&amp;Q54))))</f>
        <v/>
      </c>
      <c r="AC54" s="20" t="str">
        <f aca="false">IF(AB54="","",IF(COUNTIFS(기준SD!$E$2:$E$500,AA54,기준SD!$C$2:$C$500,"&gt;="&amp;Q54)=0,_xlfn.MAXIFS(기준SD!$C$2:$C$500,기준SD!$E$2:$E$500,AA54),_xlfn.MINIFS(기준SD!$C$2:$C$500,기준SD!$E$2:$E$500,AA54,기준SD!$C$2:$C$500,"&gt;="&amp;Q54)))</f>
        <v/>
      </c>
      <c r="AD54" s="15" t="str">
        <f aca="false">IF(AB54="","",SUMIFS(기준SD!$D$2:$D$500,기준SD!$E$2:$E$500,AA54,기준SD!$C$2:$C$500,AB54))</f>
        <v/>
      </c>
      <c r="AE54" s="15" t="str">
        <f aca="false">IF(AC54="","",SUMIFS(기준SD!$D$2:$D$500,기준SD!$E$2:$E$500,AA54,기준SD!$C$2:$C$500,AC54))</f>
        <v/>
      </c>
    </row>
    <row r="55" customFormat="false" ht="15" hidden="false" customHeight="false" outlineLevel="0" collapsed="false">
      <c r="A55" s="8"/>
      <c r="B55" s="8"/>
      <c r="C55" s="8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 t="n">
        <f aca="false">COUNT(F55:O55)</f>
        <v>0</v>
      </c>
      <c r="Q55" s="15" t="str">
        <f aca="false">IF(P55&lt;2,"",AVERAGE(F55:O55))</f>
        <v/>
      </c>
      <c r="R55" s="15" t="str">
        <f aca="false">IF(P55&lt;2,"",STDEV(F55:O55))</f>
        <v/>
      </c>
      <c r="S55" s="16" t="str">
        <f aca="false">IF(P55&lt;2,"",IF(Q55=0,"",R55/Q55*100))</f>
        <v/>
      </c>
      <c r="T55" s="15" t="str">
        <f aca="false">IF(AB55="","",IF(AB55=AC55,AD55,AD55+(AE55-AD55)*(Q55-AB55)/(AC55-AB55)))</f>
        <v/>
      </c>
      <c r="U55" s="16" t="str">
        <f aca="false">IF(OR(T55="",R55=""),"",IF(T55=0,"",R55/T55))</f>
        <v/>
      </c>
      <c r="V55" s="17" t="str">
        <f aca="false">IF(Q55="","",IF(T55="","기준없음",IF(R55&lt;=T55*$C$2,"합격","불합격")))</f>
        <v/>
      </c>
      <c r="W55" s="18" t="str">
        <f aca="false">IF(OR(Q55="",D55=""),"",Q55-D55)</f>
        <v/>
      </c>
      <c r="X55" s="15" t="str">
        <f aca="false">IF(W55="","",IF(E55&lt;&gt;"",E55,IF(T55="","",T55*$C$3)))</f>
        <v/>
      </c>
      <c r="Y55" s="17" t="str">
        <f aca="false">IF(OR(W55="",X55=""),"",IF(ABS(W55)&lt;=X55,"합격","불합격"))</f>
        <v/>
      </c>
      <c r="Z55" s="19" t="str">
        <f aca="false">IF(OR(AA55="",Q55=""),"",IF(AB55="","기준SD 데이터 없음 ",IF(Q55&lt;_xlfn.MINIFS(기준SD!$C$2:$C$500,기준SD!$E$2:$E$500,AA55),"최저 레벨 미만→최저 레벨 SD 적용 ",IF(Q55&gt;_xlfn.MAXIFS(기준SD!$C$2:$C$500,기준SD!$E$2:$E$500,AA55),"최고 레벨 초과→최고 레벨 SD 적용 ","")))&amp;IF(SUMIFS(원소정보!$E$2:$E$200,원소정보!$F$2:$F$200,AA55)&gt;0,IF(Q55&gt;SUMIFS(원소정보!$E$2:$E$200,원소정보!$F$2:$F$200,AA55),"검량범위 초과 ",""),"")&amp;IF(SUMIFS(원소정보!$D$2:$D$200,원소정보!$F$2:$F$200,AA55)&gt;0,IF(Q55&lt;SUMIFS(원소정보!$D$2:$D$200,원소정보!$F$2:$F$200,AA55)/10000,"검출한계 미만",""),""))</f>
        <v/>
      </c>
      <c r="AA55" s="19" t="str">
        <f aca="false">IF(OR(A55="",C55=""),"",A55&amp;"|"&amp;C55)</f>
        <v/>
      </c>
      <c r="AB55" s="20" t="str">
        <f aca="false">IF(OR(AA55="",Q55=""),"",IF(COUNTIF(기준SD!$E$2:$E$500,AA55)=0,"",IF(COUNTIFS(기준SD!$E$2:$E$500,AA55,기준SD!$C$2:$C$500,"&lt;="&amp;Q55)=0,_xlfn.MINIFS(기준SD!$C$2:$C$500,기준SD!$E$2:$E$500,AA55),_xlfn.MAXIFS(기준SD!$C$2:$C$500,기준SD!$E$2:$E$500,AA55,기준SD!$C$2:$C$500,"&lt;="&amp;Q55))))</f>
        <v/>
      </c>
      <c r="AC55" s="20" t="str">
        <f aca="false">IF(AB55="","",IF(COUNTIFS(기준SD!$E$2:$E$500,AA55,기준SD!$C$2:$C$500,"&gt;="&amp;Q55)=0,_xlfn.MAXIFS(기준SD!$C$2:$C$500,기준SD!$E$2:$E$500,AA55),_xlfn.MINIFS(기준SD!$C$2:$C$500,기준SD!$E$2:$E$500,AA55,기준SD!$C$2:$C$500,"&gt;="&amp;Q55)))</f>
        <v/>
      </c>
      <c r="AD55" s="15" t="str">
        <f aca="false">IF(AB55="","",SUMIFS(기준SD!$D$2:$D$500,기준SD!$E$2:$E$500,AA55,기준SD!$C$2:$C$500,AB55))</f>
        <v/>
      </c>
      <c r="AE55" s="15" t="str">
        <f aca="false">IF(AC55="","",SUMIFS(기준SD!$D$2:$D$500,기준SD!$E$2:$E$500,AA55,기준SD!$C$2:$C$500,AC55))</f>
        <v/>
      </c>
    </row>
    <row r="56" customFormat="false" ht="15" hidden="false" customHeight="false" outlineLevel="0" collapsed="false">
      <c r="A56" s="8"/>
      <c r="B56" s="8"/>
      <c r="C56" s="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4" t="n">
        <f aca="false">COUNT(F56:O56)</f>
        <v>0</v>
      </c>
      <c r="Q56" s="15" t="str">
        <f aca="false">IF(P56&lt;2,"",AVERAGE(F56:O56))</f>
        <v/>
      </c>
      <c r="R56" s="15" t="str">
        <f aca="false">IF(P56&lt;2,"",STDEV(F56:O56))</f>
        <v/>
      </c>
      <c r="S56" s="16" t="str">
        <f aca="false">IF(P56&lt;2,"",IF(Q56=0,"",R56/Q56*100))</f>
        <v/>
      </c>
      <c r="T56" s="15" t="str">
        <f aca="false">IF(AB56="","",IF(AB56=AC56,AD56,AD56+(AE56-AD56)*(Q56-AB56)/(AC56-AB56)))</f>
        <v/>
      </c>
      <c r="U56" s="16" t="str">
        <f aca="false">IF(OR(T56="",R56=""),"",IF(T56=0,"",R56/T56))</f>
        <v/>
      </c>
      <c r="V56" s="17" t="str">
        <f aca="false">IF(Q56="","",IF(T56="","기준없음",IF(R56&lt;=T56*$C$2,"합격","불합격")))</f>
        <v/>
      </c>
      <c r="W56" s="18" t="str">
        <f aca="false">IF(OR(Q56="",D56=""),"",Q56-D56)</f>
        <v/>
      </c>
      <c r="X56" s="15" t="str">
        <f aca="false">IF(W56="","",IF(E56&lt;&gt;"",E56,IF(T56="","",T56*$C$3)))</f>
        <v/>
      </c>
      <c r="Y56" s="17" t="str">
        <f aca="false">IF(OR(W56="",X56=""),"",IF(ABS(W56)&lt;=X56,"합격","불합격"))</f>
        <v/>
      </c>
      <c r="Z56" s="19" t="str">
        <f aca="false">IF(OR(AA56="",Q56=""),"",IF(AB56="","기준SD 데이터 없음 ",IF(Q56&lt;_xlfn.MINIFS(기준SD!$C$2:$C$500,기준SD!$E$2:$E$500,AA56),"최저 레벨 미만→최저 레벨 SD 적용 ",IF(Q56&gt;_xlfn.MAXIFS(기준SD!$C$2:$C$500,기준SD!$E$2:$E$500,AA56),"최고 레벨 초과→최고 레벨 SD 적용 ","")))&amp;IF(SUMIFS(원소정보!$E$2:$E$200,원소정보!$F$2:$F$200,AA56)&gt;0,IF(Q56&gt;SUMIFS(원소정보!$E$2:$E$200,원소정보!$F$2:$F$200,AA56),"검량범위 초과 ",""),"")&amp;IF(SUMIFS(원소정보!$D$2:$D$200,원소정보!$F$2:$F$200,AA56)&gt;0,IF(Q56&lt;SUMIFS(원소정보!$D$2:$D$200,원소정보!$F$2:$F$200,AA56)/10000,"검출한계 미만",""),""))</f>
        <v/>
      </c>
      <c r="AA56" s="19" t="str">
        <f aca="false">IF(OR(A56="",C56=""),"",A56&amp;"|"&amp;C56)</f>
        <v/>
      </c>
      <c r="AB56" s="20" t="str">
        <f aca="false">IF(OR(AA56="",Q56=""),"",IF(COUNTIF(기준SD!$E$2:$E$500,AA56)=0,"",IF(COUNTIFS(기준SD!$E$2:$E$500,AA56,기준SD!$C$2:$C$500,"&lt;="&amp;Q56)=0,_xlfn.MINIFS(기준SD!$C$2:$C$500,기준SD!$E$2:$E$500,AA56),_xlfn.MAXIFS(기준SD!$C$2:$C$500,기준SD!$E$2:$E$500,AA56,기준SD!$C$2:$C$500,"&lt;="&amp;Q56))))</f>
        <v/>
      </c>
      <c r="AC56" s="20" t="str">
        <f aca="false">IF(AB56="","",IF(COUNTIFS(기준SD!$E$2:$E$500,AA56,기준SD!$C$2:$C$500,"&gt;="&amp;Q56)=0,_xlfn.MAXIFS(기준SD!$C$2:$C$500,기준SD!$E$2:$E$500,AA56),_xlfn.MINIFS(기준SD!$C$2:$C$500,기준SD!$E$2:$E$500,AA56,기준SD!$C$2:$C$500,"&gt;="&amp;Q56)))</f>
        <v/>
      </c>
      <c r="AD56" s="15" t="str">
        <f aca="false">IF(AB56="","",SUMIFS(기준SD!$D$2:$D$500,기준SD!$E$2:$E$500,AA56,기준SD!$C$2:$C$500,AB56))</f>
        <v/>
      </c>
      <c r="AE56" s="15" t="str">
        <f aca="false">IF(AC56="","",SUMIFS(기준SD!$D$2:$D$500,기준SD!$E$2:$E$500,AA56,기준SD!$C$2:$C$500,AC56))</f>
        <v/>
      </c>
    </row>
    <row r="57" customFormat="false" ht="15" hidden="false" customHeight="false" outlineLevel="0" collapsed="false">
      <c r="A57" s="8"/>
      <c r="B57" s="8"/>
      <c r="C57" s="8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4" t="n">
        <f aca="false">COUNT(F57:O57)</f>
        <v>0</v>
      </c>
      <c r="Q57" s="15" t="str">
        <f aca="false">IF(P57&lt;2,"",AVERAGE(F57:O57))</f>
        <v/>
      </c>
      <c r="R57" s="15" t="str">
        <f aca="false">IF(P57&lt;2,"",STDEV(F57:O57))</f>
        <v/>
      </c>
      <c r="S57" s="16" t="str">
        <f aca="false">IF(P57&lt;2,"",IF(Q57=0,"",R57/Q57*100))</f>
        <v/>
      </c>
      <c r="T57" s="15" t="str">
        <f aca="false">IF(AB57="","",IF(AB57=AC57,AD57,AD57+(AE57-AD57)*(Q57-AB57)/(AC57-AB57)))</f>
        <v/>
      </c>
      <c r="U57" s="16" t="str">
        <f aca="false">IF(OR(T57="",R57=""),"",IF(T57=0,"",R57/T57))</f>
        <v/>
      </c>
      <c r="V57" s="17" t="str">
        <f aca="false">IF(Q57="","",IF(T57="","기준없음",IF(R57&lt;=T57*$C$2,"합격","불합격")))</f>
        <v/>
      </c>
      <c r="W57" s="18" t="str">
        <f aca="false">IF(OR(Q57="",D57=""),"",Q57-D57)</f>
        <v/>
      </c>
      <c r="X57" s="15" t="str">
        <f aca="false">IF(W57="","",IF(E57&lt;&gt;"",E57,IF(T57="","",T57*$C$3)))</f>
        <v/>
      </c>
      <c r="Y57" s="17" t="str">
        <f aca="false">IF(OR(W57="",X57=""),"",IF(ABS(W57)&lt;=X57,"합격","불합격"))</f>
        <v/>
      </c>
      <c r="Z57" s="19" t="str">
        <f aca="false">IF(OR(AA57="",Q57=""),"",IF(AB57="","기준SD 데이터 없음 ",IF(Q57&lt;_xlfn.MINIFS(기준SD!$C$2:$C$500,기준SD!$E$2:$E$500,AA57),"최저 레벨 미만→최저 레벨 SD 적용 ",IF(Q57&gt;_xlfn.MAXIFS(기준SD!$C$2:$C$500,기준SD!$E$2:$E$500,AA57),"최고 레벨 초과→최고 레벨 SD 적용 ","")))&amp;IF(SUMIFS(원소정보!$E$2:$E$200,원소정보!$F$2:$F$200,AA57)&gt;0,IF(Q57&gt;SUMIFS(원소정보!$E$2:$E$200,원소정보!$F$2:$F$200,AA57),"검량범위 초과 ",""),"")&amp;IF(SUMIFS(원소정보!$D$2:$D$200,원소정보!$F$2:$F$200,AA57)&gt;0,IF(Q57&lt;SUMIFS(원소정보!$D$2:$D$200,원소정보!$F$2:$F$200,AA57)/10000,"검출한계 미만",""),""))</f>
        <v/>
      </c>
      <c r="AA57" s="19" t="str">
        <f aca="false">IF(OR(A57="",C57=""),"",A57&amp;"|"&amp;C57)</f>
        <v/>
      </c>
      <c r="AB57" s="20" t="str">
        <f aca="false">IF(OR(AA57="",Q57=""),"",IF(COUNTIF(기준SD!$E$2:$E$500,AA57)=0,"",IF(COUNTIFS(기준SD!$E$2:$E$500,AA57,기준SD!$C$2:$C$500,"&lt;="&amp;Q57)=0,_xlfn.MINIFS(기준SD!$C$2:$C$500,기준SD!$E$2:$E$500,AA57),_xlfn.MAXIFS(기준SD!$C$2:$C$500,기준SD!$E$2:$E$500,AA57,기준SD!$C$2:$C$500,"&lt;="&amp;Q57))))</f>
        <v/>
      </c>
      <c r="AC57" s="20" t="str">
        <f aca="false">IF(AB57="","",IF(COUNTIFS(기준SD!$E$2:$E$500,AA57,기준SD!$C$2:$C$500,"&gt;="&amp;Q57)=0,_xlfn.MAXIFS(기준SD!$C$2:$C$500,기준SD!$E$2:$E$500,AA57),_xlfn.MINIFS(기준SD!$C$2:$C$500,기준SD!$E$2:$E$500,AA57,기준SD!$C$2:$C$500,"&gt;="&amp;Q57)))</f>
        <v/>
      </c>
      <c r="AD57" s="15" t="str">
        <f aca="false">IF(AB57="","",SUMIFS(기준SD!$D$2:$D$500,기준SD!$E$2:$E$500,AA57,기준SD!$C$2:$C$500,AB57))</f>
        <v/>
      </c>
      <c r="AE57" s="15" t="str">
        <f aca="false">IF(AC57="","",SUMIFS(기준SD!$D$2:$D$500,기준SD!$E$2:$E$500,AA57,기준SD!$C$2:$C$500,AC57))</f>
        <v/>
      </c>
    </row>
    <row r="58" customFormat="false" ht="15" hidden="false" customHeight="false" outlineLevel="0" collapsed="false">
      <c r="A58" s="8"/>
      <c r="B58" s="8"/>
      <c r="C58" s="8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4" t="n">
        <f aca="false">COUNT(F58:O58)</f>
        <v>0</v>
      </c>
      <c r="Q58" s="15" t="str">
        <f aca="false">IF(P58&lt;2,"",AVERAGE(F58:O58))</f>
        <v/>
      </c>
      <c r="R58" s="15" t="str">
        <f aca="false">IF(P58&lt;2,"",STDEV(F58:O58))</f>
        <v/>
      </c>
      <c r="S58" s="16" t="str">
        <f aca="false">IF(P58&lt;2,"",IF(Q58=0,"",R58/Q58*100))</f>
        <v/>
      </c>
      <c r="T58" s="15" t="str">
        <f aca="false">IF(AB58="","",IF(AB58=AC58,AD58,AD58+(AE58-AD58)*(Q58-AB58)/(AC58-AB58)))</f>
        <v/>
      </c>
      <c r="U58" s="16" t="str">
        <f aca="false">IF(OR(T58="",R58=""),"",IF(T58=0,"",R58/T58))</f>
        <v/>
      </c>
      <c r="V58" s="17" t="str">
        <f aca="false">IF(Q58="","",IF(T58="","기준없음",IF(R58&lt;=T58*$C$2,"합격","불합격")))</f>
        <v/>
      </c>
      <c r="W58" s="18" t="str">
        <f aca="false">IF(OR(Q58="",D58=""),"",Q58-D58)</f>
        <v/>
      </c>
      <c r="X58" s="15" t="str">
        <f aca="false">IF(W58="","",IF(E58&lt;&gt;"",E58,IF(T58="","",T58*$C$3)))</f>
        <v/>
      </c>
      <c r="Y58" s="17" t="str">
        <f aca="false">IF(OR(W58="",X58=""),"",IF(ABS(W58)&lt;=X58,"합격","불합격"))</f>
        <v/>
      </c>
      <c r="Z58" s="19" t="str">
        <f aca="false">IF(OR(AA58="",Q58=""),"",IF(AB58="","기준SD 데이터 없음 ",IF(Q58&lt;_xlfn.MINIFS(기준SD!$C$2:$C$500,기준SD!$E$2:$E$500,AA58),"최저 레벨 미만→최저 레벨 SD 적용 ",IF(Q58&gt;_xlfn.MAXIFS(기준SD!$C$2:$C$500,기준SD!$E$2:$E$500,AA58),"최고 레벨 초과→최고 레벨 SD 적용 ","")))&amp;IF(SUMIFS(원소정보!$E$2:$E$200,원소정보!$F$2:$F$200,AA58)&gt;0,IF(Q58&gt;SUMIFS(원소정보!$E$2:$E$200,원소정보!$F$2:$F$200,AA58),"검량범위 초과 ",""),"")&amp;IF(SUMIFS(원소정보!$D$2:$D$200,원소정보!$F$2:$F$200,AA58)&gt;0,IF(Q58&lt;SUMIFS(원소정보!$D$2:$D$200,원소정보!$F$2:$F$200,AA58)/10000,"검출한계 미만",""),""))</f>
        <v/>
      </c>
      <c r="AA58" s="19" t="str">
        <f aca="false">IF(OR(A58="",C58=""),"",A58&amp;"|"&amp;C58)</f>
        <v/>
      </c>
      <c r="AB58" s="20" t="str">
        <f aca="false">IF(OR(AA58="",Q58=""),"",IF(COUNTIF(기준SD!$E$2:$E$500,AA58)=0,"",IF(COUNTIFS(기준SD!$E$2:$E$500,AA58,기준SD!$C$2:$C$500,"&lt;="&amp;Q58)=0,_xlfn.MINIFS(기준SD!$C$2:$C$500,기준SD!$E$2:$E$500,AA58),_xlfn.MAXIFS(기준SD!$C$2:$C$500,기준SD!$E$2:$E$500,AA58,기준SD!$C$2:$C$500,"&lt;="&amp;Q58))))</f>
        <v/>
      </c>
      <c r="AC58" s="20" t="str">
        <f aca="false">IF(AB58="","",IF(COUNTIFS(기준SD!$E$2:$E$500,AA58,기준SD!$C$2:$C$500,"&gt;="&amp;Q58)=0,_xlfn.MAXIFS(기준SD!$C$2:$C$500,기준SD!$E$2:$E$500,AA58),_xlfn.MINIFS(기준SD!$C$2:$C$500,기준SD!$E$2:$E$500,AA58,기준SD!$C$2:$C$500,"&gt;="&amp;Q58)))</f>
        <v/>
      </c>
      <c r="AD58" s="15" t="str">
        <f aca="false">IF(AB58="","",SUMIFS(기준SD!$D$2:$D$500,기준SD!$E$2:$E$500,AA58,기준SD!$C$2:$C$500,AB58))</f>
        <v/>
      </c>
      <c r="AE58" s="15" t="str">
        <f aca="false">IF(AC58="","",SUMIFS(기준SD!$D$2:$D$500,기준SD!$E$2:$E$500,AA58,기준SD!$C$2:$C$500,AC58))</f>
        <v/>
      </c>
    </row>
    <row r="59" customFormat="false" ht="15" hidden="false" customHeight="false" outlineLevel="0" collapsed="false">
      <c r="A59" s="8"/>
      <c r="B59" s="8"/>
      <c r="C59" s="8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4" t="n">
        <f aca="false">COUNT(F59:O59)</f>
        <v>0</v>
      </c>
      <c r="Q59" s="15" t="str">
        <f aca="false">IF(P59&lt;2,"",AVERAGE(F59:O59))</f>
        <v/>
      </c>
      <c r="R59" s="15" t="str">
        <f aca="false">IF(P59&lt;2,"",STDEV(F59:O59))</f>
        <v/>
      </c>
      <c r="S59" s="16" t="str">
        <f aca="false">IF(P59&lt;2,"",IF(Q59=0,"",R59/Q59*100))</f>
        <v/>
      </c>
      <c r="T59" s="15" t="str">
        <f aca="false">IF(AB59="","",IF(AB59=AC59,AD59,AD59+(AE59-AD59)*(Q59-AB59)/(AC59-AB59)))</f>
        <v/>
      </c>
      <c r="U59" s="16" t="str">
        <f aca="false">IF(OR(T59="",R59=""),"",IF(T59=0,"",R59/T59))</f>
        <v/>
      </c>
      <c r="V59" s="17" t="str">
        <f aca="false">IF(Q59="","",IF(T59="","기준없음",IF(R59&lt;=T59*$C$2,"합격","불합격")))</f>
        <v/>
      </c>
      <c r="W59" s="18" t="str">
        <f aca="false">IF(OR(Q59="",D59=""),"",Q59-D59)</f>
        <v/>
      </c>
      <c r="X59" s="15" t="str">
        <f aca="false">IF(W59="","",IF(E59&lt;&gt;"",E59,IF(T59="","",T59*$C$3)))</f>
        <v/>
      </c>
      <c r="Y59" s="17" t="str">
        <f aca="false">IF(OR(W59="",X59=""),"",IF(ABS(W59)&lt;=X59,"합격","불합격"))</f>
        <v/>
      </c>
      <c r="Z59" s="19" t="str">
        <f aca="false">IF(OR(AA59="",Q59=""),"",IF(AB59="","기준SD 데이터 없음 ",IF(Q59&lt;_xlfn.MINIFS(기준SD!$C$2:$C$500,기준SD!$E$2:$E$500,AA59),"최저 레벨 미만→최저 레벨 SD 적용 ",IF(Q59&gt;_xlfn.MAXIFS(기준SD!$C$2:$C$500,기준SD!$E$2:$E$500,AA59),"최고 레벨 초과→최고 레벨 SD 적용 ","")))&amp;IF(SUMIFS(원소정보!$E$2:$E$200,원소정보!$F$2:$F$200,AA59)&gt;0,IF(Q59&gt;SUMIFS(원소정보!$E$2:$E$200,원소정보!$F$2:$F$200,AA59),"검량범위 초과 ",""),"")&amp;IF(SUMIFS(원소정보!$D$2:$D$200,원소정보!$F$2:$F$200,AA59)&gt;0,IF(Q59&lt;SUMIFS(원소정보!$D$2:$D$200,원소정보!$F$2:$F$200,AA59)/10000,"검출한계 미만",""),""))</f>
        <v/>
      </c>
      <c r="AA59" s="19" t="str">
        <f aca="false">IF(OR(A59="",C59=""),"",A59&amp;"|"&amp;C59)</f>
        <v/>
      </c>
      <c r="AB59" s="20" t="str">
        <f aca="false">IF(OR(AA59="",Q59=""),"",IF(COUNTIF(기준SD!$E$2:$E$500,AA59)=0,"",IF(COUNTIFS(기준SD!$E$2:$E$500,AA59,기준SD!$C$2:$C$500,"&lt;="&amp;Q59)=0,_xlfn.MINIFS(기준SD!$C$2:$C$500,기준SD!$E$2:$E$500,AA59),_xlfn.MAXIFS(기준SD!$C$2:$C$500,기준SD!$E$2:$E$500,AA59,기준SD!$C$2:$C$500,"&lt;="&amp;Q59))))</f>
        <v/>
      </c>
      <c r="AC59" s="20" t="str">
        <f aca="false">IF(AB59="","",IF(COUNTIFS(기준SD!$E$2:$E$500,AA59,기준SD!$C$2:$C$500,"&gt;="&amp;Q59)=0,_xlfn.MAXIFS(기준SD!$C$2:$C$500,기준SD!$E$2:$E$500,AA59),_xlfn.MINIFS(기준SD!$C$2:$C$500,기준SD!$E$2:$E$500,AA59,기준SD!$C$2:$C$500,"&gt;="&amp;Q59)))</f>
        <v/>
      </c>
      <c r="AD59" s="15" t="str">
        <f aca="false">IF(AB59="","",SUMIFS(기준SD!$D$2:$D$500,기준SD!$E$2:$E$500,AA59,기준SD!$C$2:$C$500,AB59))</f>
        <v/>
      </c>
      <c r="AE59" s="15" t="str">
        <f aca="false">IF(AC59="","",SUMIFS(기준SD!$D$2:$D$500,기준SD!$E$2:$E$500,AA59,기준SD!$C$2:$C$500,AC59))</f>
        <v/>
      </c>
    </row>
    <row r="60" customFormat="false" ht="15" hidden="false" customHeight="false" outlineLevel="0" collapsed="false">
      <c r="A60" s="8"/>
      <c r="B60" s="8"/>
      <c r="C60" s="8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4" t="n">
        <f aca="false">COUNT(F60:O60)</f>
        <v>0</v>
      </c>
      <c r="Q60" s="15" t="str">
        <f aca="false">IF(P60&lt;2,"",AVERAGE(F60:O60))</f>
        <v/>
      </c>
      <c r="R60" s="15" t="str">
        <f aca="false">IF(P60&lt;2,"",STDEV(F60:O60))</f>
        <v/>
      </c>
      <c r="S60" s="16" t="str">
        <f aca="false">IF(P60&lt;2,"",IF(Q60=0,"",R60/Q60*100))</f>
        <v/>
      </c>
      <c r="T60" s="15" t="str">
        <f aca="false">IF(AB60="","",IF(AB60=AC60,AD60,AD60+(AE60-AD60)*(Q60-AB60)/(AC60-AB60)))</f>
        <v/>
      </c>
      <c r="U60" s="16" t="str">
        <f aca="false">IF(OR(T60="",R60=""),"",IF(T60=0,"",R60/T60))</f>
        <v/>
      </c>
      <c r="V60" s="17" t="str">
        <f aca="false">IF(Q60="","",IF(T60="","기준없음",IF(R60&lt;=T60*$C$2,"합격","불합격")))</f>
        <v/>
      </c>
      <c r="W60" s="18" t="str">
        <f aca="false">IF(OR(Q60="",D60=""),"",Q60-D60)</f>
        <v/>
      </c>
      <c r="X60" s="15" t="str">
        <f aca="false">IF(W60="","",IF(E60&lt;&gt;"",E60,IF(T60="","",T60*$C$3)))</f>
        <v/>
      </c>
      <c r="Y60" s="17" t="str">
        <f aca="false">IF(OR(W60="",X60=""),"",IF(ABS(W60)&lt;=X60,"합격","불합격"))</f>
        <v/>
      </c>
      <c r="Z60" s="19" t="str">
        <f aca="false">IF(OR(AA60="",Q60=""),"",IF(AB60="","기준SD 데이터 없음 ",IF(Q60&lt;_xlfn.MINIFS(기준SD!$C$2:$C$500,기준SD!$E$2:$E$500,AA60),"최저 레벨 미만→최저 레벨 SD 적용 ",IF(Q60&gt;_xlfn.MAXIFS(기준SD!$C$2:$C$500,기준SD!$E$2:$E$500,AA60),"최고 레벨 초과→최고 레벨 SD 적용 ","")))&amp;IF(SUMIFS(원소정보!$E$2:$E$200,원소정보!$F$2:$F$200,AA60)&gt;0,IF(Q60&gt;SUMIFS(원소정보!$E$2:$E$200,원소정보!$F$2:$F$200,AA60),"검량범위 초과 ",""),"")&amp;IF(SUMIFS(원소정보!$D$2:$D$200,원소정보!$F$2:$F$200,AA60)&gt;0,IF(Q60&lt;SUMIFS(원소정보!$D$2:$D$200,원소정보!$F$2:$F$200,AA60)/10000,"검출한계 미만",""),""))</f>
        <v/>
      </c>
      <c r="AA60" s="19" t="str">
        <f aca="false">IF(OR(A60="",C60=""),"",A60&amp;"|"&amp;C60)</f>
        <v/>
      </c>
      <c r="AB60" s="20" t="str">
        <f aca="false">IF(OR(AA60="",Q60=""),"",IF(COUNTIF(기준SD!$E$2:$E$500,AA60)=0,"",IF(COUNTIFS(기준SD!$E$2:$E$500,AA60,기준SD!$C$2:$C$500,"&lt;="&amp;Q60)=0,_xlfn.MINIFS(기준SD!$C$2:$C$500,기준SD!$E$2:$E$500,AA60),_xlfn.MAXIFS(기준SD!$C$2:$C$500,기준SD!$E$2:$E$500,AA60,기준SD!$C$2:$C$500,"&lt;="&amp;Q60))))</f>
        <v/>
      </c>
      <c r="AC60" s="20" t="str">
        <f aca="false">IF(AB60="","",IF(COUNTIFS(기준SD!$E$2:$E$500,AA60,기준SD!$C$2:$C$500,"&gt;="&amp;Q60)=0,_xlfn.MAXIFS(기준SD!$C$2:$C$500,기준SD!$E$2:$E$500,AA60),_xlfn.MINIFS(기준SD!$C$2:$C$500,기준SD!$E$2:$E$500,AA60,기준SD!$C$2:$C$500,"&gt;="&amp;Q60)))</f>
        <v/>
      </c>
      <c r="AD60" s="15" t="str">
        <f aca="false">IF(AB60="","",SUMIFS(기준SD!$D$2:$D$500,기준SD!$E$2:$E$500,AA60,기준SD!$C$2:$C$500,AB60))</f>
        <v/>
      </c>
      <c r="AE60" s="15" t="str">
        <f aca="false">IF(AC60="","",SUMIFS(기준SD!$D$2:$D$500,기준SD!$E$2:$E$500,AA60,기준SD!$C$2:$C$500,AC60))</f>
        <v/>
      </c>
    </row>
    <row r="61" customFormat="false" ht="15" hidden="false" customHeight="false" outlineLevel="0" collapsed="false">
      <c r="A61" s="8"/>
      <c r="B61" s="8"/>
      <c r="C61" s="8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4" t="n">
        <f aca="false">COUNT(F61:O61)</f>
        <v>0</v>
      </c>
      <c r="Q61" s="15" t="str">
        <f aca="false">IF(P61&lt;2,"",AVERAGE(F61:O61))</f>
        <v/>
      </c>
      <c r="R61" s="15" t="str">
        <f aca="false">IF(P61&lt;2,"",STDEV(F61:O61))</f>
        <v/>
      </c>
      <c r="S61" s="16" t="str">
        <f aca="false">IF(P61&lt;2,"",IF(Q61=0,"",R61/Q61*100))</f>
        <v/>
      </c>
      <c r="T61" s="15" t="str">
        <f aca="false">IF(AB61="","",IF(AB61=AC61,AD61,AD61+(AE61-AD61)*(Q61-AB61)/(AC61-AB61)))</f>
        <v/>
      </c>
      <c r="U61" s="16" t="str">
        <f aca="false">IF(OR(T61="",R61=""),"",IF(T61=0,"",R61/T61))</f>
        <v/>
      </c>
      <c r="V61" s="17" t="str">
        <f aca="false">IF(Q61="","",IF(T61="","기준없음",IF(R61&lt;=T61*$C$2,"합격","불합격")))</f>
        <v/>
      </c>
      <c r="W61" s="18" t="str">
        <f aca="false">IF(OR(Q61="",D61=""),"",Q61-D61)</f>
        <v/>
      </c>
      <c r="X61" s="15" t="str">
        <f aca="false">IF(W61="","",IF(E61&lt;&gt;"",E61,IF(T61="","",T61*$C$3)))</f>
        <v/>
      </c>
      <c r="Y61" s="17" t="str">
        <f aca="false">IF(OR(W61="",X61=""),"",IF(ABS(W61)&lt;=X61,"합격","불합격"))</f>
        <v/>
      </c>
      <c r="Z61" s="19" t="str">
        <f aca="false">IF(OR(AA61="",Q61=""),"",IF(AB61="","기준SD 데이터 없음 ",IF(Q61&lt;_xlfn.MINIFS(기준SD!$C$2:$C$500,기준SD!$E$2:$E$500,AA61),"최저 레벨 미만→최저 레벨 SD 적용 ",IF(Q61&gt;_xlfn.MAXIFS(기준SD!$C$2:$C$500,기준SD!$E$2:$E$500,AA61),"최고 레벨 초과→최고 레벨 SD 적용 ","")))&amp;IF(SUMIFS(원소정보!$E$2:$E$200,원소정보!$F$2:$F$200,AA61)&gt;0,IF(Q61&gt;SUMIFS(원소정보!$E$2:$E$200,원소정보!$F$2:$F$200,AA61),"검량범위 초과 ",""),"")&amp;IF(SUMIFS(원소정보!$D$2:$D$200,원소정보!$F$2:$F$200,AA61)&gt;0,IF(Q61&lt;SUMIFS(원소정보!$D$2:$D$200,원소정보!$F$2:$F$200,AA61)/10000,"검출한계 미만",""),""))</f>
        <v/>
      </c>
      <c r="AA61" s="19" t="str">
        <f aca="false">IF(OR(A61="",C61=""),"",A61&amp;"|"&amp;C61)</f>
        <v/>
      </c>
      <c r="AB61" s="20" t="str">
        <f aca="false">IF(OR(AA61="",Q61=""),"",IF(COUNTIF(기준SD!$E$2:$E$500,AA61)=0,"",IF(COUNTIFS(기준SD!$E$2:$E$500,AA61,기준SD!$C$2:$C$500,"&lt;="&amp;Q61)=0,_xlfn.MINIFS(기준SD!$C$2:$C$500,기준SD!$E$2:$E$500,AA61),_xlfn.MAXIFS(기준SD!$C$2:$C$500,기준SD!$E$2:$E$500,AA61,기준SD!$C$2:$C$500,"&lt;="&amp;Q61))))</f>
        <v/>
      </c>
      <c r="AC61" s="20" t="str">
        <f aca="false">IF(AB61="","",IF(COUNTIFS(기준SD!$E$2:$E$500,AA61,기준SD!$C$2:$C$500,"&gt;="&amp;Q61)=0,_xlfn.MAXIFS(기준SD!$C$2:$C$500,기준SD!$E$2:$E$500,AA61),_xlfn.MINIFS(기준SD!$C$2:$C$500,기준SD!$E$2:$E$500,AA61,기준SD!$C$2:$C$500,"&gt;="&amp;Q61)))</f>
        <v/>
      </c>
      <c r="AD61" s="15" t="str">
        <f aca="false">IF(AB61="","",SUMIFS(기준SD!$D$2:$D$500,기준SD!$E$2:$E$500,AA61,기준SD!$C$2:$C$500,AB61))</f>
        <v/>
      </c>
      <c r="AE61" s="15" t="str">
        <f aca="false">IF(AC61="","",SUMIFS(기준SD!$D$2:$D$500,기준SD!$E$2:$E$500,AA61,기준SD!$C$2:$C$500,AC61))</f>
        <v/>
      </c>
    </row>
    <row r="62" customFormat="false" ht="15" hidden="false" customHeight="false" outlineLevel="0" collapsed="false">
      <c r="A62" s="8"/>
      <c r="B62" s="8"/>
      <c r="C62" s="8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4" t="n">
        <f aca="false">COUNT(F62:O62)</f>
        <v>0</v>
      </c>
      <c r="Q62" s="15" t="str">
        <f aca="false">IF(P62&lt;2,"",AVERAGE(F62:O62))</f>
        <v/>
      </c>
      <c r="R62" s="15" t="str">
        <f aca="false">IF(P62&lt;2,"",STDEV(F62:O62))</f>
        <v/>
      </c>
      <c r="S62" s="16" t="str">
        <f aca="false">IF(P62&lt;2,"",IF(Q62=0,"",R62/Q62*100))</f>
        <v/>
      </c>
      <c r="T62" s="15" t="str">
        <f aca="false">IF(AB62="","",IF(AB62=AC62,AD62,AD62+(AE62-AD62)*(Q62-AB62)/(AC62-AB62)))</f>
        <v/>
      </c>
      <c r="U62" s="16" t="str">
        <f aca="false">IF(OR(T62="",R62=""),"",IF(T62=0,"",R62/T62))</f>
        <v/>
      </c>
      <c r="V62" s="17" t="str">
        <f aca="false">IF(Q62="","",IF(T62="","기준없음",IF(R62&lt;=T62*$C$2,"합격","불합격")))</f>
        <v/>
      </c>
      <c r="W62" s="18" t="str">
        <f aca="false">IF(OR(Q62="",D62=""),"",Q62-D62)</f>
        <v/>
      </c>
      <c r="X62" s="15" t="str">
        <f aca="false">IF(W62="","",IF(E62&lt;&gt;"",E62,IF(T62="","",T62*$C$3)))</f>
        <v/>
      </c>
      <c r="Y62" s="17" t="str">
        <f aca="false">IF(OR(W62="",X62=""),"",IF(ABS(W62)&lt;=X62,"합격","불합격"))</f>
        <v/>
      </c>
      <c r="Z62" s="19" t="str">
        <f aca="false">IF(OR(AA62="",Q62=""),"",IF(AB62="","기준SD 데이터 없음 ",IF(Q62&lt;_xlfn.MINIFS(기준SD!$C$2:$C$500,기준SD!$E$2:$E$500,AA62),"최저 레벨 미만→최저 레벨 SD 적용 ",IF(Q62&gt;_xlfn.MAXIFS(기준SD!$C$2:$C$500,기준SD!$E$2:$E$500,AA62),"최고 레벨 초과→최고 레벨 SD 적용 ","")))&amp;IF(SUMIFS(원소정보!$E$2:$E$200,원소정보!$F$2:$F$200,AA62)&gt;0,IF(Q62&gt;SUMIFS(원소정보!$E$2:$E$200,원소정보!$F$2:$F$200,AA62),"검량범위 초과 ",""),"")&amp;IF(SUMIFS(원소정보!$D$2:$D$200,원소정보!$F$2:$F$200,AA62)&gt;0,IF(Q62&lt;SUMIFS(원소정보!$D$2:$D$200,원소정보!$F$2:$F$200,AA62)/10000,"검출한계 미만",""),""))</f>
        <v/>
      </c>
      <c r="AA62" s="19" t="str">
        <f aca="false">IF(OR(A62="",C62=""),"",A62&amp;"|"&amp;C62)</f>
        <v/>
      </c>
      <c r="AB62" s="20" t="str">
        <f aca="false">IF(OR(AA62="",Q62=""),"",IF(COUNTIF(기준SD!$E$2:$E$500,AA62)=0,"",IF(COUNTIFS(기준SD!$E$2:$E$500,AA62,기준SD!$C$2:$C$500,"&lt;="&amp;Q62)=0,_xlfn.MINIFS(기준SD!$C$2:$C$500,기준SD!$E$2:$E$500,AA62),_xlfn.MAXIFS(기준SD!$C$2:$C$500,기준SD!$E$2:$E$500,AA62,기준SD!$C$2:$C$500,"&lt;="&amp;Q62))))</f>
        <v/>
      </c>
      <c r="AC62" s="20" t="str">
        <f aca="false">IF(AB62="","",IF(COUNTIFS(기준SD!$E$2:$E$500,AA62,기준SD!$C$2:$C$500,"&gt;="&amp;Q62)=0,_xlfn.MAXIFS(기준SD!$C$2:$C$500,기준SD!$E$2:$E$500,AA62),_xlfn.MINIFS(기준SD!$C$2:$C$500,기준SD!$E$2:$E$500,AA62,기준SD!$C$2:$C$500,"&gt;="&amp;Q62)))</f>
        <v/>
      </c>
      <c r="AD62" s="15" t="str">
        <f aca="false">IF(AB62="","",SUMIFS(기준SD!$D$2:$D$500,기준SD!$E$2:$E$500,AA62,기준SD!$C$2:$C$500,AB62))</f>
        <v/>
      </c>
      <c r="AE62" s="15" t="str">
        <f aca="false">IF(AC62="","",SUMIFS(기준SD!$D$2:$D$500,기준SD!$E$2:$E$500,AA62,기준SD!$C$2:$C$500,AC62))</f>
        <v/>
      </c>
    </row>
    <row r="63" customFormat="false" ht="15" hidden="false" customHeight="false" outlineLevel="0" collapsed="false">
      <c r="A63" s="8"/>
      <c r="B63" s="8"/>
      <c r="C63" s="8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4" t="n">
        <f aca="false">COUNT(F63:O63)</f>
        <v>0</v>
      </c>
      <c r="Q63" s="15" t="str">
        <f aca="false">IF(P63&lt;2,"",AVERAGE(F63:O63))</f>
        <v/>
      </c>
      <c r="R63" s="15" t="str">
        <f aca="false">IF(P63&lt;2,"",STDEV(F63:O63))</f>
        <v/>
      </c>
      <c r="S63" s="16" t="str">
        <f aca="false">IF(P63&lt;2,"",IF(Q63=0,"",R63/Q63*100))</f>
        <v/>
      </c>
      <c r="T63" s="15" t="str">
        <f aca="false">IF(AB63="","",IF(AB63=AC63,AD63,AD63+(AE63-AD63)*(Q63-AB63)/(AC63-AB63)))</f>
        <v/>
      </c>
      <c r="U63" s="16" t="str">
        <f aca="false">IF(OR(T63="",R63=""),"",IF(T63=0,"",R63/T63))</f>
        <v/>
      </c>
      <c r="V63" s="17" t="str">
        <f aca="false">IF(Q63="","",IF(T63="","기준없음",IF(R63&lt;=T63*$C$2,"합격","불합격")))</f>
        <v/>
      </c>
      <c r="W63" s="18" t="str">
        <f aca="false">IF(OR(Q63="",D63=""),"",Q63-D63)</f>
        <v/>
      </c>
      <c r="X63" s="15" t="str">
        <f aca="false">IF(W63="","",IF(E63&lt;&gt;"",E63,IF(T63="","",T63*$C$3)))</f>
        <v/>
      </c>
      <c r="Y63" s="17" t="str">
        <f aca="false">IF(OR(W63="",X63=""),"",IF(ABS(W63)&lt;=X63,"합격","불합격"))</f>
        <v/>
      </c>
      <c r="Z63" s="19" t="str">
        <f aca="false">IF(OR(AA63="",Q63=""),"",IF(AB63="","기준SD 데이터 없음 ",IF(Q63&lt;_xlfn.MINIFS(기준SD!$C$2:$C$500,기준SD!$E$2:$E$500,AA63),"최저 레벨 미만→최저 레벨 SD 적용 ",IF(Q63&gt;_xlfn.MAXIFS(기준SD!$C$2:$C$500,기준SD!$E$2:$E$500,AA63),"최고 레벨 초과→최고 레벨 SD 적용 ","")))&amp;IF(SUMIFS(원소정보!$E$2:$E$200,원소정보!$F$2:$F$200,AA63)&gt;0,IF(Q63&gt;SUMIFS(원소정보!$E$2:$E$200,원소정보!$F$2:$F$200,AA63),"검량범위 초과 ",""),"")&amp;IF(SUMIFS(원소정보!$D$2:$D$200,원소정보!$F$2:$F$200,AA63)&gt;0,IF(Q63&lt;SUMIFS(원소정보!$D$2:$D$200,원소정보!$F$2:$F$200,AA63)/10000,"검출한계 미만",""),""))</f>
        <v/>
      </c>
      <c r="AA63" s="19" t="str">
        <f aca="false">IF(OR(A63="",C63=""),"",A63&amp;"|"&amp;C63)</f>
        <v/>
      </c>
      <c r="AB63" s="20" t="str">
        <f aca="false">IF(OR(AA63="",Q63=""),"",IF(COUNTIF(기준SD!$E$2:$E$500,AA63)=0,"",IF(COUNTIFS(기준SD!$E$2:$E$500,AA63,기준SD!$C$2:$C$500,"&lt;="&amp;Q63)=0,_xlfn.MINIFS(기준SD!$C$2:$C$500,기준SD!$E$2:$E$500,AA63),_xlfn.MAXIFS(기준SD!$C$2:$C$500,기준SD!$E$2:$E$500,AA63,기준SD!$C$2:$C$500,"&lt;="&amp;Q63))))</f>
        <v/>
      </c>
      <c r="AC63" s="20" t="str">
        <f aca="false">IF(AB63="","",IF(COUNTIFS(기준SD!$E$2:$E$500,AA63,기준SD!$C$2:$C$500,"&gt;="&amp;Q63)=0,_xlfn.MAXIFS(기준SD!$C$2:$C$500,기준SD!$E$2:$E$500,AA63),_xlfn.MINIFS(기준SD!$C$2:$C$500,기준SD!$E$2:$E$500,AA63,기준SD!$C$2:$C$500,"&gt;="&amp;Q63)))</f>
        <v/>
      </c>
      <c r="AD63" s="15" t="str">
        <f aca="false">IF(AB63="","",SUMIFS(기준SD!$D$2:$D$500,기준SD!$E$2:$E$500,AA63,기준SD!$C$2:$C$500,AB63))</f>
        <v/>
      </c>
      <c r="AE63" s="15" t="str">
        <f aca="false">IF(AC63="","",SUMIFS(기준SD!$D$2:$D$500,기준SD!$E$2:$E$500,AA63,기준SD!$C$2:$C$500,AC63))</f>
        <v/>
      </c>
    </row>
    <row r="64" customFormat="false" ht="15" hidden="false" customHeight="false" outlineLevel="0" collapsed="false">
      <c r="A64" s="8"/>
      <c r="B64" s="8"/>
      <c r="C64" s="8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4" t="n">
        <f aca="false">COUNT(F64:O64)</f>
        <v>0</v>
      </c>
      <c r="Q64" s="15" t="str">
        <f aca="false">IF(P64&lt;2,"",AVERAGE(F64:O64))</f>
        <v/>
      </c>
      <c r="R64" s="15" t="str">
        <f aca="false">IF(P64&lt;2,"",STDEV(F64:O64))</f>
        <v/>
      </c>
      <c r="S64" s="16" t="str">
        <f aca="false">IF(P64&lt;2,"",IF(Q64=0,"",R64/Q64*100))</f>
        <v/>
      </c>
      <c r="T64" s="15" t="str">
        <f aca="false">IF(AB64="","",IF(AB64=AC64,AD64,AD64+(AE64-AD64)*(Q64-AB64)/(AC64-AB64)))</f>
        <v/>
      </c>
      <c r="U64" s="16" t="str">
        <f aca="false">IF(OR(T64="",R64=""),"",IF(T64=0,"",R64/T64))</f>
        <v/>
      </c>
      <c r="V64" s="17" t="str">
        <f aca="false">IF(Q64="","",IF(T64="","기준없음",IF(R64&lt;=T64*$C$2,"합격","불합격")))</f>
        <v/>
      </c>
      <c r="W64" s="18" t="str">
        <f aca="false">IF(OR(Q64="",D64=""),"",Q64-D64)</f>
        <v/>
      </c>
      <c r="X64" s="15" t="str">
        <f aca="false">IF(W64="","",IF(E64&lt;&gt;"",E64,IF(T64="","",T64*$C$3)))</f>
        <v/>
      </c>
      <c r="Y64" s="17" t="str">
        <f aca="false">IF(OR(W64="",X64=""),"",IF(ABS(W64)&lt;=X64,"합격","불합격"))</f>
        <v/>
      </c>
      <c r="Z64" s="19" t="str">
        <f aca="false">IF(OR(AA64="",Q64=""),"",IF(AB64="","기준SD 데이터 없음 ",IF(Q64&lt;_xlfn.MINIFS(기준SD!$C$2:$C$500,기준SD!$E$2:$E$500,AA64),"최저 레벨 미만→최저 레벨 SD 적용 ",IF(Q64&gt;_xlfn.MAXIFS(기준SD!$C$2:$C$500,기준SD!$E$2:$E$500,AA64),"최고 레벨 초과→최고 레벨 SD 적용 ","")))&amp;IF(SUMIFS(원소정보!$E$2:$E$200,원소정보!$F$2:$F$200,AA64)&gt;0,IF(Q64&gt;SUMIFS(원소정보!$E$2:$E$200,원소정보!$F$2:$F$200,AA64),"검량범위 초과 ",""),"")&amp;IF(SUMIFS(원소정보!$D$2:$D$200,원소정보!$F$2:$F$200,AA64)&gt;0,IF(Q64&lt;SUMIFS(원소정보!$D$2:$D$200,원소정보!$F$2:$F$200,AA64)/10000,"검출한계 미만",""),""))</f>
        <v/>
      </c>
      <c r="AA64" s="19" t="str">
        <f aca="false">IF(OR(A64="",C64=""),"",A64&amp;"|"&amp;C64)</f>
        <v/>
      </c>
      <c r="AB64" s="20" t="str">
        <f aca="false">IF(OR(AA64="",Q64=""),"",IF(COUNTIF(기준SD!$E$2:$E$500,AA64)=0,"",IF(COUNTIFS(기준SD!$E$2:$E$500,AA64,기준SD!$C$2:$C$500,"&lt;="&amp;Q64)=0,_xlfn.MINIFS(기준SD!$C$2:$C$500,기준SD!$E$2:$E$500,AA64),_xlfn.MAXIFS(기준SD!$C$2:$C$500,기준SD!$E$2:$E$500,AA64,기준SD!$C$2:$C$500,"&lt;="&amp;Q64))))</f>
        <v/>
      </c>
      <c r="AC64" s="20" t="str">
        <f aca="false">IF(AB64="","",IF(COUNTIFS(기준SD!$E$2:$E$500,AA64,기준SD!$C$2:$C$500,"&gt;="&amp;Q64)=0,_xlfn.MAXIFS(기준SD!$C$2:$C$500,기준SD!$E$2:$E$500,AA64),_xlfn.MINIFS(기준SD!$C$2:$C$500,기준SD!$E$2:$E$500,AA64,기준SD!$C$2:$C$500,"&gt;="&amp;Q64)))</f>
        <v/>
      </c>
      <c r="AD64" s="15" t="str">
        <f aca="false">IF(AB64="","",SUMIFS(기준SD!$D$2:$D$500,기준SD!$E$2:$E$500,AA64,기준SD!$C$2:$C$500,AB64))</f>
        <v/>
      </c>
      <c r="AE64" s="15" t="str">
        <f aca="false">IF(AC64="","",SUMIFS(기준SD!$D$2:$D$500,기준SD!$E$2:$E$500,AA64,기준SD!$C$2:$C$500,AC64))</f>
        <v/>
      </c>
    </row>
    <row r="65" customFormat="false" ht="15" hidden="false" customHeight="false" outlineLevel="0" collapsed="false">
      <c r="A65" s="8"/>
      <c r="B65" s="8"/>
      <c r="C65" s="8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4" t="n">
        <f aca="false">COUNT(F65:O65)</f>
        <v>0</v>
      </c>
      <c r="Q65" s="15" t="str">
        <f aca="false">IF(P65&lt;2,"",AVERAGE(F65:O65))</f>
        <v/>
      </c>
      <c r="R65" s="15" t="str">
        <f aca="false">IF(P65&lt;2,"",STDEV(F65:O65))</f>
        <v/>
      </c>
      <c r="S65" s="16" t="str">
        <f aca="false">IF(P65&lt;2,"",IF(Q65=0,"",R65/Q65*100))</f>
        <v/>
      </c>
      <c r="T65" s="15" t="str">
        <f aca="false">IF(AB65="","",IF(AB65=AC65,AD65,AD65+(AE65-AD65)*(Q65-AB65)/(AC65-AB65)))</f>
        <v/>
      </c>
      <c r="U65" s="16" t="str">
        <f aca="false">IF(OR(T65="",R65=""),"",IF(T65=0,"",R65/T65))</f>
        <v/>
      </c>
      <c r="V65" s="17" t="str">
        <f aca="false">IF(Q65="","",IF(T65="","기준없음",IF(R65&lt;=T65*$C$2,"합격","불합격")))</f>
        <v/>
      </c>
      <c r="W65" s="18" t="str">
        <f aca="false">IF(OR(Q65="",D65=""),"",Q65-D65)</f>
        <v/>
      </c>
      <c r="X65" s="15" t="str">
        <f aca="false">IF(W65="","",IF(E65&lt;&gt;"",E65,IF(T65="","",T65*$C$3)))</f>
        <v/>
      </c>
      <c r="Y65" s="17" t="str">
        <f aca="false">IF(OR(W65="",X65=""),"",IF(ABS(W65)&lt;=X65,"합격","불합격"))</f>
        <v/>
      </c>
      <c r="Z65" s="19" t="str">
        <f aca="false">IF(OR(AA65="",Q65=""),"",IF(AB65="","기준SD 데이터 없음 ",IF(Q65&lt;_xlfn.MINIFS(기준SD!$C$2:$C$500,기준SD!$E$2:$E$500,AA65),"최저 레벨 미만→최저 레벨 SD 적용 ",IF(Q65&gt;_xlfn.MAXIFS(기준SD!$C$2:$C$500,기준SD!$E$2:$E$500,AA65),"최고 레벨 초과→최고 레벨 SD 적용 ","")))&amp;IF(SUMIFS(원소정보!$E$2:$E$200,원소정보!$F$2:$F$200,AA65)&gt;0,IF(Q65&gt;SUMIFS(원소정보!$E$2:$E$200,원소정보!$F$2:$F$200,AA65),"검량범위 초과 ",""),"")&amp;IF(SUMIFS(원소정보!$D$2:$D$200,원소정보!$F$2:$F$200,AA65)&gt;0,IF(Q65&lt;SUMIFS(원소정보!$D$2:$D$200,원소정보!$F$2:$F$200,AA65)/10000,"검출한계 미만",""),""))</f>
        <v/>
      </c>
      <c r="AA65" s="19" t="str">
        <f aca="false">IF(OR(A65="",C65=""),"",A65&amp;"|"&amp;C65)</f>
        <v/>
      </c>
      <c r="AB65" s="20" t="str">
        <f aca="false">IF(OR(AA65="",Q65=""),"",IF(COUNTIF(기준SD!$E$2:$E$500,AA65)=0,"",IF(COUNTIFS(기준SD!$E$2:$E$500,AA65,기준SD!$C$2:$C$500,"&lt;="&amp;Q65)=0,_xlfn.MINIFS(기준SD!$C$2:$C$500,기준SD!$E$2:$E$500,AA65),_xlfn.MAXIFS(기준SD!$C$2:$C$500,기준SD!$E$2:$E$500,AA65,기준SD!$C$2:$C$500,"&lt;="&amp;Q65))))</f>
        <v/>
      </c>
      <c r="AC65" s="20" t="str">
        <f aca="false">IF(AB65="","",IF(COUNTIFS(기준SD!$E$2:$E$500,AA65,기준SD!$C$2:$C$500,"&gt;="&amp;Q65)=0,_xlfn.MAXIFS(기준SD!$C$2:$C$500,기준SD!$E$2:$E$500,AA65),_xlfn.MINIFS(기준SD!$C$2:$C$500,기준SD!$E$2:$E$500,AA65,기준SD!$C$2:$C$500,"&gt;="&amp;Q65)))</f>
        <v/>
      </c>
      <c r="AD65" s="15" t="str">
        <f aca="false">IF(AB65="","",SUMIFS(기준SD!$D$2:$D$500,기준SD!$E$2:$E$500,AA65,기준SD!$C$2:$C$500,AB65))</f>
        <v/>
      </c>
      <c r="AE65" s="15" t="str">
        <f aca="false">IF(AC65="","",SUMIFS(기준SD!$D$2:$D$500,기준SD!$E$2:$E$500,AA65,기준SD!$C$2:$C$500,AC65))</f>
        <v/>
      </c>
    </row>
    <row r="66" customFormat="false" ht="15" hidden="false" customHeight="false" outlineLevel="0" collapsed="false">
      <c r="A66" s="8"/>
      <c r="B66" s="8"/>
      <c r="C66" s="8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4" t="n">
        <f aca="false">COUNT(F66:O66)</f>
        <v>0</v>
      </c>
      <c r="Q66" s="15" t="str">
        <f aca="false">IF(P66&lt;2,"",AVERAGE(F66:O66))</f>
        <v/>
      </c>
      <c r="R66" s="15" t="str">
        <f aca="false">IF(P66&lt;2,"",STDEV(F66:O66))</f>
        <v/>
      </c>
      <c r="S66" s="16" t="str">
        <f aca="false">IF(P66&lt;2,"",IF(Q66=0,"",R66/Q66*100))</f>
        <v/>
      </c>
      <c r="T66" s="15" t="str">
        <f aca="false">IF(AB66="","",IF(AB66=AC66,AD66,AD66+(AE66-AD66)*(Q66-AB66)/(AC66-AB66)))</f>
        <v/>
      </c>
      <c r="U66" s="16" t="str">
        <f aca="false">IF(OR(T66="",R66=""),"",IF(T66=0,"",R66/T66))</f>
        <v/>
      </c>
      <c r="V66" s="17" t="str">
        <f aca="false">IF(Q66="","",IF(T66="","기준없음",IF(R66&lt;=T66*$C$2,"합격","불합격")))</f>
        <v/>
      </c>
      <c r="W66" s="18" t="str">
        <f aca="false">IF(OR(Q66="",D66=""),"",Q66-D66)</f>
        <v/>
      </c>
      <c r="X66" s="15" t="str">
        <f aca="false">IF(W66="","",IF(E66&lt;&gt;"",E66,IF(T66="","",T66*$C$3)))</f>
        <v/>
      </c>
      <c r="Y66" s="17" t="str">
        <f aca="false">IF(OR(W66="",X66=""),"",IF(ABS(W66)&lt;=X66,"합격","불합격"))</f>
        <v/>
      </c>
      <c r="Z66" s="19" t="str">
        <f aca="false">IF(OR(AA66="",Q66=""),"",IF(AB66="","기준SD 데이터 없음 ",IF(Q66&lt;_xlfn.MINIFS(기준SD!$C$2:$C$500,기준SD!$E$2:$E$500,AA66),"최저 레벨 미만→최저 레벨 SD 적용 ",IF(Q66&gt;_xlfn.MAXIFS(기준SD!$C$2:$C$500,기준SD!$E$2:$E$500,AA66),"최고 레벨 초과→최고 레벨 SD 적용 ","")))&amp;IF(SUMIFS(원소정보!$E$2:$E$200,원소정보!$F$2:$F$200,AA66)&gt;0,IF(Q66&gt;SUMIFS(원소정보!$E$2:$E$200,원소정보!$F$2:$F$200,AA66),"검량범위 초과 ",""),"")&amp;IF(SUMIFS(원소정보!$D$2:$D$200,원소정보!$F$2:$F$200,AA66)&gt;0,IF(Q66&lt;SUMIFS(원소정보!$D$2:$D$200,원소정보!$F$2:$F$200,AA66)/10000,"검출한계 미만",""),""))</f>
        <v/>
      </c>
      <c r="AA66" s="19" t="str">
        <f aca="false">IF(OR(A66="",C66=""),"",A66&amp;"|"&amp;C66)</f>
        <v/>
      </c>
      <c r="AB66" s="20" t="str">
        <f aca="false">IF(OR(AA66="",Q66=""),"",IF(COUNTIF(기준SD!$E$2:$E$500,AA66)=0,"",IF(COUNTIFS(기준SD!$E$2:$E$500,AA66,기준SD!$C$2:$C$500,"&lt;="&amp;Q66)=0,_xlfn.MINIFS(기준SD!$C$2:$C$500,기준SD!$E$2:$E$500,AA66),_xlfn.MAXIFS(기준SD!$C$2:$C$500,기준SD!$E$2:$E$500,AA66,기준SD!$C$2:$C$500,"&lt;="&amp;Q66))))</f>
        <v/>
      </c>
      <c r="AC66" s="20" t="str">
        <f aca="false">IF(AB66="","",IF(COUNTIFS(기준SD!$E$2:$E$500,AA66,기준SD!$C$2:$C$500,"&gt;="&amp;Q66)=0,_xlfn.MAXIFS(기준SD!$C$2:$C$500,기준SD!$E$2:$E$500,AA66),_xlfn.MINIFS(기준SD!$C$2:$C$500,기준SD!$E$2:$E$500,AA66,기준SD!$C$2:$C$500,"&gt;="&amp;Q66)))</f>
        <v/>
      </c>
      <c r="AD66" s="15" t="str">
        <f aca="false">IF(AB66="","",SUMIFS(기준SD!$D$2:$D$500,기준SD!$E$2:$E$500,AA66,기준SD!$C$2:$C$500,AB66))</f>
        <v/>
      </c>
      <c r="AE66" s="15" t="str">
        <f aca="false">IF(AC66="","",SUMIFS(기준SD!$D$2:$D$500,기준SD!$E$2:$E$500,AA66,기준SD!$C$2:$C$500,AC66))</f>
        <v/>
      </c>
    </row>
    <row r="67" customFormat="false" ht="15" hidden="false" customHeight="false" outlineLevel="0" collapsed="false">
      <c r="A67" s="8"/>
      <c r="B67" s="8"/>
      <c r="C67" s="8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4" t="n">
        <f aca="false">COUNT(F67:O67)</f>
        <v>0</v>
      </c>
      <c r="Q67" s="15" t="str">
        <f aca="false">IF(P67&lt;2,"",AVERAGE(F67:O67))</f>
        <v/>
      </c>
      <c r="R67" s="15" t="str">
        <f aca="false">IF(P67&lt;2,"",STDEV(F67:O67))</f>
        <v/>
      </c>
      <c r="S67" s="16" t="str">
        <f aca="false">IF(P67&lt;2,"",IF(Q67=0,"",R67/Q67*100))</f>
        <v/>
      </c>
      <c r="T67" s="15" t="str">
        <f aca="false">IF(AB67="","",IF(AB67=AC67,AD67,AD67+(AE67-AD67)*(Q67-AB67)/(AC67-AB67)))</f>
        <v/>
      </c>
      <c r="U67" s="16" t="str">
        <f aca="false">IF(OR(T67="",R67=""),"",IF(T67=0,"",R67/T67))</f>
        <v/>
      </c>
      <c r="V67" s="17" t="str">
        <f aca="false">IF(Q67="","",IF(T67="","기준없음",IF(R67&lt;=T67*$C$2,"합격","불합격")))</f>
        <v/>
      </c>
      <c r="W67" s="18" t="str">
        <f aca="false">IF(OR(Q67="",D67=""),"",Q67-D67)</f>
        <v/>
      </c>
      <c r="X67" s="15" t="str">
        <f aca="false">IF(W67="","",IF(E67&lt;&gt;"",E67,IF(T67="","",T67*$C$3)))</f>
        <v/>
      </c>
      <c r="Y67" s="17" t="str">
        <f aca="false">IF(OR(W67="",X67=""),"",IF(ABS(W67)&lt;=X67,"합격","불합격"))</f>
        <v/>
      </c>
      <c r="Z67" s="19" t="str">
        <f aca="false">IF(OR(AA67="",Q67=""),"",IF(AB67="","기준SD 데이터 없음 ",IF(Q67&lt;_xlfn.MINIFS(기준SD!$C$2:$C$500,기준SD!$E$2:$E$500,AA67),"최저 레벨 미만→최저 레벨 SD 적용 ",IF(Q67&gt;_xlfn.MAXIFS(기준SD!$C$2:$C$500,기준SD!$E$2:$E$500,AA67),"최고 레벨 초과→최고 레벨 SD 적용 ","")))&amp;IF(SUMIFS(원소정보!$E$2:$E$200,원소정보!$F$2:$F$200,AA67)&gt;0,IF(Q67&gt;SUMIFS(원소정보!$E$2:$E$200,원소정보!$F$2:$F$200,AA67),"검량범위 초과 ",""),"")&amp;IF(SUMIFS(원소정보!$D$2:$D$200,원소정보!$F$2:$F$200,AA67)&gt;0,IF(Q67&lt;SUMIFS(원소정보!$D$2:$D$200,원소정보!$F$2:$F$200,AA67)/10000,"검출한계 미만",""),""))</f>
        <v/>
      </c>
      <c r="AA67" s="19" t="str">
        <f aca="false">IF(OR(A67="",C67=""),"",A67&amp;"|"&amp;C67)</f>
        <v/>
      </c>
      <c r="AB67" s="20" t="str">
        <f aca="false">IF(OR(AA67="",Q67=""),"",IF(COUNTIF(기준SD!$E$2:$E$500,AA67)=0,"",IF(COUNTIFS(기준SD!$E$2:$E$500,AA67,기준SD!$C$2:$C$500,"&lt;="&amp;Q67)=0,_xlfn.MINIFS(기준SD!$C$2:$C$500,기준SD!$E$2:$E$500,AA67),_xlfn.MAXIFS(기준SD!$C$2:$C$500,기준SD!$E$2:$E$500,AA67,기준SD!$C$2:$C$500,"&lt;="&amp;Q67))))</f>
        <v/>
      </c>
      <c r="AC67" s="20" t="str">
        <f aca="false">IF(AB67="","",IF(COUNTIFS(기준SD!$E$2:$E$500,AA67,기준SD!$C$2:$C$500,"&gt;="&amp;Q67)=0,_xlfn.MAXIFS(기준SD!$C$2:$C$500,기준SD!$E$2:$E$500,AA67),_xlfn.MINIFS(기준SD!$C$2:$C$500,기준SD!$E$2:$E$500,AA67,기준SD!$C$2:$C$500,"&gt;="&amp;Q67)))</f>
        <v/>
      </c>
      <c r="AD67" s="15" t="str">
        <f aca="false">IF(AB67="","",SUMIFS(기준SD!$D$2:$D$500,기준SD!$E$2:$E$500,AA67,기준SD!$C$2:$C$500,AB67))</f>
        <v/>
      </c>
      <c r="AE67" s="15" t="str">
        <f aca="false">IF(AC67="","",SUMIFS(기준SD!$D$2:$D$500,기준SD!$E$2:$E$500,AA67,기준SD!$C$2:$C$500,AC67))</f>
        <v/>
      </c>
    </row>
    <row r="68" customFormat="false" ht="15" hidden="false" customHeight="false" outlineLevel="0" collapsed="false">
      <c r="A68" s="8"/>
      <c r="B68" s="8"/>
      <c r="C68" s="8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4" t="n">
        <f aca="false">COUNT(F68:O68)</f>
        <v>0</v>
      </c>
      <c r="Q68" s="15" t="str">
        <f aca="false">IF(P68&lt;2,"",AVERAGE(F68:O68))</f>
        <v/>
      </c>
      <c r="R68" s="15" t="str">
        <f aca="false">IF(P68&lt;2,"",STDEV(F68:O68))</f>
        <v/>
      </c>
      <c r="S68" s="16" t="str">
        <f aca="false">IF(P68&lt;2,"",IF(Q68=0,"",R68/Q68*100))</f>
        <v/>
      </c>
      <c r="T68" s="15" t="str">
        <f aca="false">IF(AB68="","",IF(AB68=AC68,AD68,AD68+(AE68-AD68)*(Q68-AB68)/(AC68-AB68)))</f>
        <v/>
      </c>
      <c r="U68" s="16" t="str">
        <f aca="false">IF(OR(T68="",R68=""),"",IF(T68=0,"",R68/T68))</f>
        <v/>
      </c>
      <c r="V68" s="17" t="str">
        <f aca="false">IF(Q68="","",IF(T68="","기준없음",IF(R68&lt;=T68*$C$2,"합격","불합격")))</f>
        <v/>
      </c>
      <c r="W68" s="18" t="str">
        <f aca="false">IF(OR(Q68="",D68=""),"",Q68-D68)</f>
        <v/>
      </c>
      <c r="X68" s="15" t="str">
        <f aca="false">IF(W68="","",IF(E68&lt;&gt;"",E68,IF(T68="","",T68*$C$3)))</f>
        <v/>
      </c>
      <c r="Y68" s="17" t="str">
        <f aca="false">IF(OR(W68="",X68=""),"",IF(ABS(W68)&lt;=X68,"합격","불합격"))</f>
        <v/>
      </c>
      <c r="Z68" s="19" t="str">
        <f aca="false">IF(OR(AA68="",Q68=""),"",IF(AB68="","기준SD 데이터 없음 ",IF(Q68&lt;_xlfn.MINIFS(기준SD!$C$2:$C$500,기준SD!$E$2:$E$500,AA68),"최저 레벨 미만→최저 레벨 SD 적용 ",IF(Q68&gt;_xlfn.MAXIFS(기준SD!$C$2:$C$500,기준SD!$E$2:$E$500,AA68),"최고 레벨 초과→최고 레벨 SD 적용 ","")))&amp;IF(SUMIFS(원소정보!$E$2:$E$200,원소정보!$F$2:$F$200,AA68)&gt;0,IF(Q68&gt;SUMIFS(원소정보!$E$2:$E$200,원소정보!$F$2:$F$200,AA68),"검량범위 초과 ",""),"")&amp;IF(SUMIFS(원소정보!$D$2:$D$200,원소정보!$F$2:$F$200,AA68)&gt;0,IF(Q68&lt;SUMIFS(원소정보!$D$2:$D$200,원소정보!$F$2:$F$200,AA68)/10000,"검출한계 미만",""),""))</f>
        <v/>
      </c>
      <c r="AA68" s="19" t="str">
        <f aca="false">IF(OR(A68="",C68=""),"",A68&amp;"|"&amp;C68)</f>
        <v/>
      </c>
      <c r="AB68" s="20" t="str">
        <f aca="false">IF(OR(AA68="",Q68=""),"",IF(COUNTIF(기준SD!$E$2:$E$500,AA68)=0,"",IF(COUNTIFS(기준SD!$E$2:$E$500,AA68,기준SD!$C$2:$C$500,"&lt;="&amp;Q68)=0,_xlfn.MINIFS(기준SD!$C$2:$C$500,기준SD!$E$2:$E$500,AA68),_xlfn.MAXIFS(기준SD!$C$2:$C$500,기준SD!$E$2:$E$500,AA68,기준SD!$C$2:$C$500,"&lt;="&amp;Q68))))</f>
        <v/>
      </c>
      <c r="AC68" s="20" t="str">
        <f aca="false">IF(AB68="","",IF(COUNTIFS(기준SD!$E$2:$E$500,AA68,기준SD!$C$2:$C$500,"&gt;="&amp;Q68)=0,_xlfn.MAXIFS(기준SD!$C$2:$C$500,기준SD!$E$2:$E$500,AA68),_xlfn.MINIFS(기준SD!$C$2:$C$500,기준SD!$E$2:$E$500,AA68,기준SD!$C$2:$C$500,"&gt;="&amp;Q68)))</f>
        <v/>
      </c>
      <c r="AD68" s="15" t="str">
        <f aca="false">IF(AB68="","",SUMIFS(기준SD!$D$2:$D$500,기준SD!$E$2:$E$500,AA68,기준SD!$C$2:$C$500,AB68))</f>
        <v/>
      </c>
      <c r="AE68" s="15" t="str">
        <f aca="false">IF(AC68="","",SUMIFS(기준SD!$D$2:$D$500,기준SD!$E$2:$E$500,AA68,기준SD!$C$2:$C$500,AC68))</f>
        <v/>
      </c>
    </row>
    <row r="69" customFormat="false" ht="15" hidden="false" customHeight="false" outlineLevel="0" collapsed="false">
      <c r="A69" s="8"/>
      <c r="B69" s="8"/>
      <c r="C69" s="8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4" t="n">
        <f aca="false">COUNT(F69:O69)</f>
        <v>0</v>
      </c>
      <c r="Q69" s="15" t="str">
        <f aca="false">IF(P69&lt;2,"",AVERAGE(F69:O69))</f>
        <v/>
      </c>
      <c r="R69" s="15" t="str">
        <f aca="false">IF(P69&lt;2,"",STDEV(F69:O69))</f>
        <v/>
      </c>
      <c r="S69" s="16" t="str">
        <f aca="false">IF(P69&lt;2,"",IF(Q69=0,"",R69/Q69*100))</f>
        <v/>
      </c>
      <c r="T69" s="15" t="str">
        <f aca="false">IF(AB69="","",IF(AB69=AC69,AD69,AD69+(AE69-AD69)*(Q69-AB69)/(AC69-AB69)))</f>
        <v/>
      </c>
      <c r="U69" s="16" t="str">
        <f aca="false">IF(OR(T69="",R69=""),"",IF(T69=0,"",R69/T69))</f>
        <v/>
      </c>
      <c r="V69" s="17" t="str">
        <f aca="false">IF(Q69="","",IF(T69="","기준없음",IF(R69&lt;=T69*$C$2,"합격","불합격")))</f>
        <v/>
      </c>
      <c r="W69" s="18" t="str">
        <f aca="false">IF(OR(Q69="",D69=""),"",Q69-D69)</f>
        <v/>
      </c>
      <c r="X69" s="15" t="str">
        <f aca="false">IF(W69="","",IF(E69&lt;&gt;"",E69,IF(T69="","",T69*$C$3)))</f>
        <v/>
      </c>
      <c r="Y69" s="17" t="str">
        <f aca="false">IF(OR(W69="",X69=""),"",IF(ABS(W69)&lt;=X69,"합격","불합격"))</f>
        <v/>
      </c>
      <c r="Z69" s="19" t="str">
        <f aca="false">IF(OR(AA69="",Q69=""),"",IF(AB69="","기준SD 데이터 없음 ",IF(Q69&lt;_xlfn.MINIFS(기준SD!$C$2:$C$500,기준SD!$E$2:$E$500,AA69),"최저 레벨 미만→최저 레벨 SD 적용 ",IF(Q69&gt;_xlfn.MAXIFS(기준SD!$C$2:$C$500,기준SD!$E$2:$E$500,AA69),"최고 레벨 초과→최고 레벨 SD 적용 ","")))&amp;IF(SUMIFS(원소정보!$E$2:$E$200,원소정보!$F$2:$F$200,AA69)&gt;0,IF(Q69&gt;SUMIFS(원소정보!$E$2:$E$200,원소정보!$F$2:$F$200,AA69),"검량범위 초과 ",""),"")&amp;IF(SUMIFS(원소정보!$D$2:$D$200,원소정보!$F$2:$F$200,AA69)&gt;0,IF(Q69&lt;SUMIFS(원소정보!$D$2:$D$200,원소정보!$F$2:$F$200,AA69)/10000,"검출한계 미만",""),""))</f>
        <v/>
      </c>
      <c r="AA69" s="19" t="str">
        <f aca="false">IF(OR(A69="",C69=""),"",A69&amp;"|"&amp;C69)</f>
        <v/>
      </c>
      <c r="AB69" s="20" t="str">
        <f aca="false">IF(OR(AA69="",Q69=""),"",IF(COUNTIF(기준SD!$E$2:$E$500,AA69)=0,"",IF(COUNTIFS(기준SD!$E$2:$E$500,AA69,기준SD!$C$2:$C$500,"&lt;="&amp;Q69)=0,_xlfn.MINIFS(기준SD!$C$2:$C$500,기준SD!$E$2:$E$500,AA69),_xlfn.MAXIFS(기준SD!$C$2:$C$500,기준SD!$E$2:$E$500,AA69,기준SD!$C$2:$C$500,"&lt;="&amp;Q69))))</f>
        <v/>
      </c>
      <c r="AC69" s="20" t="str">
        <f aca="false">IF(AB69="","",IF(COUNTIFS(기준SD!$E$2:$E$500,AA69,기준SD!$C$2:$C$500,"&gt;="&amp;Q69)=0,_xlfn.MAXIFS(기준SD!$C$2:$C$500,기준SD!$E$2:$E$500,AA69),_xlfn.MINIFS(기준SD!$C$2:$C$500,기준SD!$E$2:$E$500,AA69,기준SD!$C$2:$C$500,"&gt;="&amp;Q69)))</f>
        <v/>
      </c>
      <c r="AD69" s="15" t="str">
        <f aca="false">IF(AB69="","",SUMIFS(기준SD!$D$2:$D$500,기준SD!$E$2:$E$500,AA69,기준SD!$C$2:$C$500,AB69))</f>
        <v/>
      </c>
      <c r="AE69" s="15" t="str">
        <f aca="false">IF(AC69="","",SUMIFS(기준SD!$D$2:$D$500,기준SD!$E$2:$E$500,AA69,기준SD!$C$2:$C$500,AC69))</f>
        <v/>
      </c>
    </row>
    <row r="70" customFormat="false" ht="15" hidden="false" customHeight="false" outlineLevel="0" collapsed="false">
      <c r="A70" s="8"/>
      <c r="B70" s="8"/>
      <c r="C70" s="8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4" t="n">
        <f aca="false">COUNT(F70:O70)</f>
        <v>0</v>
      </c>
      <c r="Q70" s="15" t="str">
        <f aca="false">IF(P70&lt;2,"",AVERAGE(F70:O70))</f>
        <v/>
      </c>
      <c r="R70" s="15" t="str">
        <f aca="false">IF(P70&lt;2,"",STDEV(F70:O70))</f>
        <v/>
      </c>
      <c r="S70" s="16" t="str">
        <f aca="false">IF(P70&lt;2,"",IF(Q70=0,"",R70/Q70*100))</f>
        <v/>
      </c>
      <c r="T70" s="15" t="str">
        <f aca="false">IF(AB70="","",IF(AB70=AC70,AD70,AD70+(AE70-AD70)*(Q70-AB70)/(AC70-AB70)))</f>
        <v/>
      </c>
      <c r="U70" s="16" t="str">
        <f aca="false">IF(OR(T70="",R70=""),"",IF(T70=0,"",R70/T70))</f>
        <v/>
      </c>
      <c r="V70" s="17" t="str">
        <f aca="false">IF(Q70="","",IF(T70="","기준없음",IF(R70&lt;=T70*$C$2,"합격","불합격")))</f>
        <v/>
      </c>
      <c r="W70" s="18" t="str">
        <f aca="false">IF(OR(Q70="",D70=""),"",Q70-D70)</f>
        <v/>
      </c>
      <c r="X70" s="15" t="str">
        <f aca="false">IF(W70="","",IF(E70&lt;&gt;"",E70,IF(T70="","",T70*$C$3)))</f>
        <v/>
      </c>
      <c r="Y70" s="17" t="str">
        <f aca="false">IF(OR(W70="",X70=""),"",IF(ABS(W70)&lt;=X70,"합격","불합격"))</f>
        <v/>
      </c>
      <c r="Z70" s="19" t="str">
        <f aca="false">IF(OR(AA70="",Q70=""),"",IF(AB70="","기준SD 데이터 없음 ",IF(Q70&lt;_xlfn.MINIFS(기준SD!$C$2:$C$500,기준SD!$E$2:$E$500,AA70),"최저 레벨 미만→최저 레벨 SD 적용 ",IF(Q70&gt;_xlfn.MAXIFS(기준SD!$C$2:$C$500,기준SD!$E$2:$E$500,AA70),"최고 레벨 초과→최고 레벨 SD 적용 ","")))&amp;IF(SUMIFS(원소정보!$E$2:$E$200,원소정보!$F$2:$F$200,AA70)&gt;0,IF(Q70&gt;SUMIFS(원소정보!$E$2:$E$200,원소정보!$F$2:$F$200,AA70),"검량범위 초과 ",""),"")&amp;IF(SUMIFS(원소정보!$D$2:$D$200,원소정보!$F$2:$F$200,AA70)&gt;0,IF(Q70&lt;SUMIFS(원소정보!$D$2:$D$200,원소정보!$F$2:$F$200,AA70)/10000,"검출한계 미만",""),""))</f>
        <v/>
      </c>
      <c r="AA70" s="19" t="str">
        <f aca="false">IF(OR(A70="",C70=""),"",A70&amp;"|"&amp;C70)</f>
        <v/>
      </c>
      <c r="AB70" s="20" t="str">
        <f aca="false">IF(OR(AA70="",Q70=""),"",IF(COUNTIF(기준SD!$E$2:$E$500,AA70)=0,"",IF(COUNTIFS(기준SD!$E$2:$E$500,AA70,기준SD!$C$2:$C$500,"&lt;="&amp;Q70)=0,_xlfn.MINIFS(기준SD!$C$2:$C$500,기준SD!$E$2:$E$500,AA70),_xlfn.MAXIFS(기준SD!$C$2:$C$500,기준SD!$E$2:$E$500,AA70,기준SD!$C$2:$C$500,"&lt;="&amp;Q70))))</f>
        <v/>
      </c>
      <c r="AC70" s="20" t="str">
        <f aca="false">IF(AB70="","",IF(COUNTIFS(기준SD!$E$2:$E$500,AA70,기준SD!$C$2:$C$500,"&gt;="&amp;Q70)=0,_xlfn.MAXIFS(기준SD!$C$2:$C$500,기준SD!$E$2:$E$500,AA70),_xlfn.MINIFS(기준SD!$C$2:$C$500,기준SD!$E$2:$E$500,AA70,기준SD!$C$2:$C$500,"&gt;="&amp;Q70)))</f>
        <v/>
      </c>
      <c r="AD70" s="15" t="str">
        <f aca="false">IF(AB70="","",SUMIFS(기준SD!$D$2:$D$500,기준SD!$E$2:$E$500,AA70,기준SD!$C$2:$C$500,AB70))</f>
        <v/>
      </c>
      <c r="AE70" s="15" t="str">
        <f aca="false">IF(AC70="","",SUMIFS(기준SD!$D$2:$D$500,기준SD!$E$2:$E$500,AA70,기준SD!$C$2:$C$500,AC70))</f>
        <v/>
      </c>
    </row>
    <row r="71" customFormat="false" ht="15" hidden="false" customHeight="false" outlineLevel="0" collapsed="false">
      <c r="A71" s="8"/>
      <c r="B71" s="8"/>
      <c r="C71" s="8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4" t="n">
        <f aca="false">COUNT(F71:O71)</f>
        <v>0</v>
      </c>
      <c r="Q71" s="15" t="str">
        <f aca="false">IF(P71&lt;2,"",AVERAGE(F71:O71))</f>
        <v/>
      </c>
      <c r="R71" s="15" t="str">
        <f aca="false">IF(P71&lt;2,"",STDEV(F71:O71))</f>
        <v/>
      </c>
      <c r="S71" s="16" t="str">
        <f aca="false">IF(P71&lt;2,"",IF(Q71=0,"",R71/Q71*100))</f>
        <v/>
      </c>
      <c r="T71" s="15" t="str">
        <f aca="false">IF(AB71="","",IF(AB71=AC71,AD71,AD71+(AE71-AD71)*(Q71-AB71)/(AC71-AB71)))</f>
        <v/>
      </c>
      <c r="U71" s="16" t="str">
        <f aca="false">IF(OR(T71="",R71=""),"",IF(T71=0,"",R71/T71))</f>
        <v/>
      </c>
      <c r="V71" s="17" t="str">
        <f aca="false">IF(Q71="","",IF(T71="","기준없음",IF(R71&lt;=T71*$C$2,"합격","불합격")))</f>
        <v/>
      </c>
      <c r="W71" s="18" t="str">
        <f aca="false">IF(OR(Q71="",D71=""),"",Q71-D71)</f>
        <v/>
      </c>
      <c r="X71" s="15" t="str">
        <f aca="false">IF(W71="","",IF(E71&lt;&gt;"",E71,IF(T71="","",T71*$C$3)))</f>
        <v/>
      </c>
      <c r="Y71" s="17" t="str">
        <f aca="false">IF(OR(W71="",X71=""),"",IF(ABS(W71)&lt;=X71,"합격","불합격"))</f>
        <v/>
      </c>
      <c r="Z71" s="19" t="str">
        <f aca="false">IF(OR(AA71="",Q71=""),"",IF(AB71="","기준SD 데이터 없음 ",IF(Q71&lt;_xlfn.MINIFS(기준SD!$C$2:$C$500,기준SD!$E$2:$E$500,AA71),"최저 레벨 미만→최저 레벨 SD 적용 ",IF(Q71&gt;_xlfn.MAXIFS(기준SD!$C$2:$C$500,기준SD!$E$2:$E$500,AA71),"최고 레벨 초과→최고 레벨 SD 적용 ","")))&amp;IF(SUMIFS(원소정보!$E$2:$E$200,원소정보!$F$2:$F$200,AA71)&gt;0,IF(Q71&gt;SUMIFS(원소정보!$E$2:$E$200,원소정보!$F$2:$F$200,AA71),"검량범위 초과 ",""),"")&amp;IF(SUMIFS(원소정보!$D$2:$D$200,원소정보!$F$2:$F$200,AA71)&gt;0,IF(Q71&lt;SUMIFS(원소정보!$D$2:$D$200,원소정보!$F$2:$F$200,AA71)/10000,"검출한계 미만",""),""))</f>
        <v/>
      </c>
      <c r="AA71" s="19" t="str">
        <f aca="false">IF(OR(A71="",C71=""),"",A71&amp;"|"&amp;C71)</f>
        <v/>
      </c>
      <c r="AB71" s="20" t="str">
        <f aca="false">IF(OR(AA71="",Q71=""),"",IF(COUNTIF(기준SD!$E$2:$E$500,AA71)=0,"",IF(COUNTIFS(기준SD!$E$2:$E$500,AA71,기준SD!$C$2:$C$500,"&lt;="&amp;Q71)=0,_xlfn.MINIFS(기준SD!$C$2:$C$500,기준SD!$E$2:$E$500,AA71),_xlfn.MAXIFS(기준SD!$C$2:$C$500,기준SD!$E$2:$E$500,AA71,기준SD!$C$2:$C$500,"&lt;="&amp;Q71))))</f>
        <v/>
      </c>
      <c r="AC71" s="20" t="str">
        <f aca="false">IF(AB71="","",IF(COUNTIFS(기준SD!$E$2:$E$500,AA71,기준SD!$C$2:$C$500,"&gt;="&amp;Q71)=0,_xlfn.MAXIFS(기준SD!$C$2:$C$500,기준SD!$E$2:$E$500,AA71),_xlfn.MINIFS(기준SD!$C$2:$C$500,기준SD!$E$2:$E$500,AA71,기준SD!$C$2:$C$500,"&gt;="&amp;Q71)))</f>
        <v/>
      </c>
      <c r="AD71" s="15" t="str">
        <f aca="false">IF(AB71="","",SUMIFS(기준SD!$D$2:$D$500,기준SD!$E$2:$E$500,AA71,기준SD!$C$2:$C$500,AB71))</f>
        <v/>
      </c>
      <c r="AE71" s="15" t="str">
        <f aca="false">IF(AC71="","",SUMIFS(기준SD!$D$2:$D$500,기준SD!$E$2:$E$500,AA71,기준SD!$C$2:$C$500,AC71))</f>
        <v/>
      </c>
    </row>
    <row r="72" customFormat="false" ht="15" hidden="false" customHeight="false" outlineLevel="0" collapsed="false">
      <c r="A72" s="8"/>
      <c r="B72" s="8"/>
      <c r="C72" s="8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4" t="n">
        <f aca="false">COUNT(F72:O72)</f>
        <v>0</v>
      </c>
      <c r="Q72" s="15" t="str">
        <f aca="false">IF(P72&lt;2,"",AVERAGE(F72:O72))</f>
        <v/>
      </c>
      <c r="R72" s="15" t="str">
        <f aca="false">IF(P72&lt;2,"",STDEV(F72:O72))</f>
        <v/>
      </c>
      <c r="S72" s="16" t="str">
        <f aca="false">IF(P72&lt;2,"",IF(Q72=0,"",R72/Q72*100))</f>
        <v/>
      </c>
      <c r="T72" s="15" t="str">
        <f aca="false">IF(AB72="","",IF(AB72=AC72,AD72,AD72+(AE72-AD72)*(Q72-AB72)/(AC72-AB72)))</f>
        <v/>
      </c>
      <c r="U72" s="16" t="str">
        <f aca="false">IF(OR(T72="",R72=""),"",IF(T72=0,"",R72/T72))</f>
        <v/>
      </c>
      <c r="V72" s="17" t="str">
        <f aca="false">IF(Q72="","",IF(T72="","기준없음",IF(R72&lt;=T72*$C$2,"합격","불합격")))</f>
        <v/>
      </c>
      <c r="W72" s="18" t="str">
        <f aca="false">IF(OR(Q72="",D72=""),"",Q72-D72)</f>
        <v/>
      </c>
      <c r="X72" s="15" t="str">
        <f aca="false">IF(W72="","",IF(E72&lt;&gt;"",E72,IF(T72="","",T72*$C$3)))</f>
        <v/>
      </c>
      <c r="Y72" s="17" t="str">
        <f aca="false">IF(OR(W72="",X72=""),"",IF(ABS(W72)&lt;=X72,"합격","불합격"))</f>
        <v/>
      </c>
      <c r="Z72" s="19" t="str">
        <f aca="false">IF(OR(AA72="",Q72=""),"",IF(AB72="","기준SD 데이터 없음 ",IF(Q72&lt;_xlfn.MINIFS(기준SD!$C$2:$C$500,기준SD!$E$2:$E$500,AA72),"최저 레벨 미만→최저 레벨 SD 적용 ",IF(Q72&gt;_xlfn.MAXIFS(기준SD!$C$2:$C$500,기준SD!$E$2:$E$500,AA72),"최고 레벨 초과→최고 레벨 SD 적용 ","")))&amp;IF(SUMIFS(원소정보!$E$2:$E$200,원소정보!$F$2:$F$200,AA72)&gt;0,IF(Q72&gt;SUMIFS(원소정보!$E$2:$E$200,원소정보!$F$2:$F$200,AA72),"검량범위 초과 ",""),"")&amp;IF(SUMIFS(원소정보!$D$2:$D$200,원소정보!$F$2:$F$200,AA72)&gt;0,IF(Q72&lt;SUMIFS(원소정보!$D$2:$D$200,원소정보!$F$2:$F$200,AA72)/10000,"검출한계 미만",""),""))</f>
        <v/>
      </c>
      <c r="AA72" s="19" t="str">
        <f aca="false">IF(OR(A72="",C72=""),"",A72&amp;"|"&amp;C72)</f>
        <v/>
      </c>
      <c r="AB72" s="20" t="str">
        <f aca="false">IF(OR(AA72="",Q72=""),"",IF(COUNTIF(기준SD!$E$2:$E$500,AA72)=0,"",IF(COUNTIFS(기준SD!$E$2:$E$500,AA72,기준SD!$C$2:$C$500,"&lt;="&amp;Q72)=0,_xlfn.MINIFS(기준SD!$C$2:$C$500,기준SD!$E$2:$E$500,AA72),_xlfn.MAXIFS(기준SD!$C$2:$C$500,기준SD!$E$2:$E$500,AA72,기준SD!$C$2:$C$500,"&lt;="&amp;Q72))))</f>
        <v/>
      </c>
      <c r="AC72" s="20" t="str">
        <f aca="false">IF(AB72="","",IF(COUNTIFS(기준SD!$E$2:$E$500,AA72,기준SD!$C$2:$C$500,"&gt;="&amp;Q72)=0,_xlfn.MAXIFS(기준SD!$C$2:$C$500,기준SD!$E$2:$E$500,AA72),_xlfn.MINIFS(기준SD!$C$2:$C$500,기준SD!$E$2:$E$500,AA72,기준SD!$C$2:$C$500,"&gt;="&amp;Q72)))</f>
        <v/>
      </c>
      <c r="AD72" s="15" t="str">
        <f aca="false">IF(AB72="","",SUMIFS(기준SD!$D$2:$D$500,기준SD!$E$2:$E$500,AA72,기준SD!$C$2:$C$500,AB72))</f>
        <v/>
      </c>
      <c r="AE72" s="15" t="str">
        <f aca="false">IF(AC72="","",SUMIFS(기준SD!$D$2:$D$500,기준SD!$E$2:$E$500,AA72,기준SD!$C$2:$C$500,AC72))</f>
        <v/>
      </c>
    </row>
    <row r="73" customFormat="false" ht="15" hidden="false" customHeight="false" outlineLevel="0" collapsed="false">
      <c r="A73" s="8"/>
      <c r="B73" s="8"/>
      <c r="C73" s="8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4" t="n">
        <f aca="false">COUNT(F73:O73)</f>
        <v>0</v>
      </c>
      <c r="Q73" s="15" t="str">
        <f aca="false">IF(P73&lt;2,"",AVERAGE(F73:O73))</f>
        <v/>
      </c>
      <c r="R73" s="15" t="str">
        <f aca="false">IF(P73&lt;2,"",STDEV(F73:O73))</f>
        <v/>
      </c>
      <c r="S73" s="16" t="str">
        <f aca="false">IF(P73&lt;2,"",IF(Q73=0,"",R73/Q73*100))</f>
        <v/>
      </c>
      <c r="T73" s="15" t="str">
        <f aca="false">IF(AB73="","",IF(AB73=AC73,AD73,AD73+(AE73-AD73)*(Q73-AB73)/(AC73-AB73)))</f>
        <v/>
      </c>
      <c r="U73" s="16" t="str">
        <f aca="false">IF(OR(T73="",R73=""),"",IF(T73=0,"",R73/T73))</f>
        <v/>
      </c>
      <c r="V73" s="17" t="str">
        <f aca="false">IF(Q73="","",IF(T73="","기준없음",IF(R73&lt;=T73*$C$2,"합격","불합격")))</f>
        <v/>
      </c>
      <c r="W73" s="18" t="str">
        <f aca="false">IF(OR(Q73="",D73=""),"",Q73-D73)</f>
        <v/>
      </c>
      <c r="X73" s="15" t="str">
        <f aca="false">IF(W73="","",IF(E73&lt;&gt;"",E73,IF(T73="","",T73*$C$3)))</f>
        <v/>
      </c>
      <c r="Y73" s="17" t="str">
        <f aca="false">IF(OR(W73="",X73=""),"",IF(ABS(W73)&lt;=X73,"합격","불합격"))</f>
        <v/>
      </c>
      <c r="Z73" s="19" t="str">
        <f aca="false">IF(OR(AA73="",Q73=""),"",IF(AB73="","기준SD 데이터 없음 ",IF(Q73&lt;_xlfn.MINIFS(기준SD!$C$2:$C$500,기준SD!$E$2:$E$500,AA73),"최저 레벨 미만→최저 레벨 SD 적용 ",IF(Q73&gt;_xlfn.MAXIFS(기준SD!$C$2:$C$500,기준SD!$E$2:$E$500,AA73),"최고 레벨 초과→최고 레벨 SD 적용 ","")))&amp;IF(SUMIFS(원소정보!$E$2:$E$200,원소정보!$F$2:$F$200,AA73)&gt;0,IF(Q73&gt;SUMIFS(원소정보!$E$2:$E$200,원소정보!$F$2:$F$200,AA73),"검량범위 초과 ",""),"")&amp;IF(SUMIFS(원소정보!$D$2:$D$200,원소정보!$F$2:$F$200,AA73)&gt;0,IF(Q73&lt;SUMIFS(원소정보!$D$2:$D$200,원소정보!$F$2:$F$200,AA73)/10000,"검출한계 미만",""),""))</f>
        <v/>
      </c>
      <c r="AA73" s="19" t="str">
        <f aca="false">IF(OR(A73="",C73=""),"",A73&amp;"|"&amp;C73)</f>
        <v/>
      </c>
      <c r="AB73" s="20" t="str">
        <f aca="false">IF(OR(AA73="",Q73=""),"",IF(COUNTIF(기준SD!$E$2:$E$500,AA73)=0,"",IF(COUNTIFS(기준SD!$E$2:$E$500,AA73,기준SD!$C$2:$C$500,"&lt;="&amp;Q73)=0,_xlfn.MINIFS(기준SD!$C$2:$C$500,기준SD!$E$2:$E$500,AA73),_xlfn.MAXIFS(기준SD!$C$2:$C$500,기준SD!$E$2:$E$500,AA73,기준SD!$C$2:$C$500,"&lt;="&amp;Q73))))</f>
        <v/>
      </c>
      <c r="AC73" s="20" t="str">
        <f aca="false">IF(AB73="","",IF(COUNTIFS(기준SD!$E$2:$E$500,AA73,기준SD!$C$2:$C$500,"&gt;="&amp;Q73)=0,_xlfn.MAXIFS(기준SD!$C$2:$C$500,기준SD!$E$2:$E$500,AA73),_xlfn.MINIFS(기준SD!$C$2:$C$500,기준SD!$E$2:$E$500,AA73,기준SD!$C$2:$C$500,"&gt;="&amp;Q73)))</f>
        <v/>
      </c>
      <c r="AD73" s="15" t="str">
        <f aca="false">IF(AB73="","",SUMIFS(기준SD!$D$2:$D$500,기준SD!$E$2:$E$500,AA73,기준SD!$C$2:$C$500,AB73))</f>
        <v/>
      </c>
      <c r="AE73" s="15" t="str">
        <f aca="false">IF(AC73="","",SUMIFS(기준SD!$D$2:$D$500,기준SD!$E$2:$E$500,AA73,기준SD!$C$2:$C$500,AC73))</f>
        <v/>
      </c>
    </row>
    <row r="74" customFormat="false" ht="15" hidden="false" customHeight="false" outlineLevel="0" collapsed="false">
      <c r="A74" s="8"/>
      <c r="B74" s="8"/>
      <c r="C74" s="8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4" t="n">
        <f aca="false">COUNT(F74:O74)</f>
        <v>0</v>
      </c>
      <c r="Q74" s="15" t="str">
        <f aca="false">IF(P74&lt;2,"",AVERAGE(F74:O74))</f>
        <v/>
      </c>
      <c r="R74" s="15" t="str">
        <f aca="false">IF(P74&lt;2,"",STDEV(F74:O74))</f>
        <v/>
      </c>
      <c r="S74" s="16" t="str">
        <f aca="false">IF(P74&lt;2,"",IF(Q74=0,"",R74/Q74*100))</f>
        <v/>
      </c>
      <c r="T74" s="15" t="str">
        <f aca="false">IF(AB74="","",IF(AB74=AC74,AD74,AD74+(AE74-AD74)*(Q74-AB74)/(AC74-AB74)))</f>
        <v/>
      </c>
      <c r="U74" s="16" t="str">
        <f aca="false">IF(OR(T74="",R74=""),"",IF(T74=0,"",R74/T74))</f>
        <v/>
      </c>
      <c r="V74" s="17" t="str">
        <f aca="false">IF(Q74="","",IF(T74="","기준없음",IF(R74&lt;=T74*$C$2,"합격","불합격")))</f>
        <v/>
      </c>
      <c r="W74" s="18" t="str">
        <f aca="false">IF(OR(Q74="",D74=""),"",Q74-D74)</f>
        <v/>
      </c>
      <c r="X74" s="15" t="str">
        <f aca="false">IF(W74="","",IF(E74&lt;&gt;"",E74,IF(T74="","",T74*$C$3)))</f>
        <v/>
      </c>
      <c r="Y74" s="17" t="str">
        <f aca="false">IF(OR(W74="",X74=""),"",IF(ABS(W74)&lt;=X74,"합격","불합격"))</f>
        <v/>
      </c>
      <c r="Z74" s="19" t="str">
        <f aca="false">IF(OR(AA74="",Q74=""),"",IF(AB74="","기준SD 데이터 없음 ",IF(Q74&lt;_xlfn.MINIFS(기준SD!$C$2:$C$500,기준SD!$E$2:$E$500,AA74),"최저 레벨 미만→최저 레벨 SD 적용 ",IF(Q74&gt;_xlfn.MAXIFS(기준SD!$C$2:$C$500,기준SD!$E$2:$E$500,AA74),"최고 레벨 초과→최고 레벨 SD 적용 ","")))&amp;IF(SUMIFS(원소정보!$E$2:$E$200,원소정보!$F$2:$F$200,AA74)&gt;0,IF(Q74&gt;SUMIFS(원소정보!$E$2:$E$200,원소정보!$F$2:$F$200,AA74),"검량범위 초과 ",""),"")&amp;IF(SUMIFS(원소정보!$D$2:$D$200,원소정보!$F$2:$F$200,AA74)&gt;0,IF(Q74&lt;SUMIFS(원소정보!$D$2:$D$200,원소정보!$F$2:$F$200,AA74)/10000,"검출한계 미만",""),""))</f>
        <v/>
      </c>
      <c r="AA74" s="19" t="str">
        <f aca="false">IF(OR(A74="",C74=""),"",A74&amp;"|"&amp;C74)</f>
        <v/>
      </c>
      <c r="AB74" s="20" t="str">
        <f aca="false">IF(OR(AA74="",Q74=""),"",IF(COUNTIF(기준SD!$E$2:$E$500,AA74)=0,"",IF(COUNTIFS(기준SD!$E$2:$E$500,AA74,기준SD!$C$2:$C$500,"&lt;="&amp;Q74)=0,_xlfn.MINIFS(기준SD!$C$2:$C$500,기준SD!$E$2:$E$500,AA74),_xlfn.MAXIFS(기준SD!$C$2:$C$500,기준SD!$E$2:$E$500,AA74,기준SD!$C$2:$C$500,"&lt;="&amp;Q74))))</f>
        <v/>
      </c>
      <c r="AC74" s="20" t="str">
        <f aca="false">IF(AB74="","",IF(COUNTIFS(기준SD!$E$2:$E$500,AA74,기준SD!$C$2:$C$500,"&gt;="&amp;Q74)=0,_xlfn.MAXIFS(기준SD!$C$2:$C$500,기준SD!$E$2:$E$500,AA74),_xlfn.MINIFS(기준SD!$C$2:$C$500,기준SD!$E$2:$E$500,AA74,기준SD!$C$2:$C$500,"&gt;="&amp;Q74)))</f>
        <v/>
      </c>
      <c r="AD74" s="15" t="str">
        <f aca="false">IF(AB74="","",SUMIFS(기준SD!$D$2:$D$500,기준SD!$E$2:$E$500,AA74,기준SD!$C$2:$C$500,AB74))</f>
        <v/>
      </c>
      <c r="AE74" s="15" t="str">
        <f aca="false">IF(AC74="","",SUMIFS(기준SD!$D$2:$D$500,기준SD!$E$2:$E$500,AA74,기준SD!$C$2:$C$500,AC74))</f>
        <v/>
      </c>
    </row>
    <row r="75" customFormat="false" ht="15" hidden="false" customHeight="false" outlineLevel="0" collapsed="false">
      <c r="A75" s="8"/>
      <c r="B75" s="8"/>
      <c r="C75" s="8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4" t="n">
        <f aca="false">COUNT(F75:O75)</f>
        <v>0</v>
      </c>
      <c r="Q75" s="15" t="str">
        <f aca="false">IF(P75&lt;2,"",AVERAGE(F75:O75))</f>
        <v/>
      </c>
      <c r="R75" s="15" t="str">
        <f aca="false">IF(P75&lt;2,"",STDEV(F75:O75))</f>
        <v/>
      </c>
      <c r="S75" s="16" t="str">
        <f aca="false">IF(P75&lt;2,"",IF(Q75=0,"",R75/Q75*100))</f>
        <v/>
      </c>
      <c r="T75" s="15" t="str">
        <f aca="false">IF(AB75="","",IF(AB75=AC75,AD75,AD75+(AE75-AD75)*(Q75-AB75)/(AC75-AB75)))</f>
        <v/>
      </c>
      <c r="U75" s="16" t="str">
        <f aca="false">IF(OR(T75="",R75=""),"",IF(T75=0,"",R75/T75))</f>
        <v/>
      </c>
      <c r="V75" s="17" t="str">
        <f aca="false">IF(Q75="","",IF(T75="","기준없음",IF(R75&lt;=T75*$C$2,"합격","불합격")))</f>
        <v/>
      </c>
      <c r="W75" s="18" t="str">
        <f aca="false">IF(OR(Q75="",D75=""),"",Q75-D75)</f>
        <v/>
      </c>
      <c r="X75" s="15" t="str">
        <f aca="false">IF(W75="","",IF(E75&lt;&gt;"",E75,IF(T75="","",T75*$C$3)))</f>
        <v/>
      </c>
      <c r="Y75" s="17" t="str">
        <f aca="false">IF(OR(W75="",X75=""),"",IF(ABS(W75)&lt;=X75,"합격","불합격"))</f>
        <v/>
      </c>
      <c r="Z75" s="19" t="str">
        <f aca="false">IF(OR(AA75="",Q75=""),"",IF(AB75="","기준SD 데이터 없음 ",IF(Q75&lt;_xlfn.MINIFS(기준SD!$C$2:$C$500,기준SD!$E$2:$E$500,AA75),"최저 레벨 미만→최저 레벨 SD 적용 ",IF(Q75&gt;_xlfn.MAXIFS(기준SD!$C$2:$C$500,기준SD!$E$2:$E$500,AA75),"최고 레벨 초과→최고 레벨 SD 적용 ","")))&amp;IF(SUMIFS(원소정보!$E$2:$E$200,원소정보!$F$2:$F$200,AA75)&gt;0,IF(Q75&gt;SUMIFS(원소정보!$E$2:$E$200,원소정보!$F$2:$F$200,AA75),"검량범위 초과 ",""),"")&amp;IF(SUMIFS(원소정보!$D$2:$D$200,원소정보!$F$2:$F$200,AA75)&gt;0,IF(Q75&lt;SUMIFS(원소정보!$D$2:$D$200,원소정보!$F$2:$F$200,AA75)/10000,"검출한계 미만",""),""))</f>
        <v/>
      </c>
      <c r="AA75" s="19" t="str">
        <f aca="false">IF(OR(A75="",C75=""),"",A75&amp;"|"&amp;C75)</f>
        <v/>
      </c>
      <c r="AB75" s="20" t="str">
        <f aca="false">IF(OR(AA75="",Q75=""),"",IF(COUNTIF(기준SD!$E$2:$E$500,AA75)=0,"",IF(COUNTIFS(기준SD!$E$2:$E$500,AA75,기준SD!$C$2:$C$500,"&lt;="&amp;Q75)=0,_xlfn.MINIFS(기준SD!$C$2:$C$500,기준SD!$E$2:$E$500,AA75),_xlfn.MAXIFS(기준SD!$C$2:$C$500,기준SD!$E$2:$E$500,AA75,기준SD!$C$2:$C$500,"&lt;="&amp;Q75))))</f>
        <v/>
      </c>
      <c r="AC75" s="20" t="str">
        <f aca="false">IF(AB75="","",IF(COUNTIFS(기준SD!$E$2:$E$500,AA75,기준SD!$C$2:$C$500,"&gt;="&amp;Q75)=0,_xlfn.MAXIFS(기준SD!$C$2:$C$500,기준SD!$E$2:$E$500,AA75),_xlfn.MINIFS(기준SD!$C$2:$C$500,기준SD!$E$2:$E$500,AA75,기준SD!$C$2:$C$500,"&gt;="&amp;Q75)))</f>
        <v/>
      </c>
      <c r="AD75" s="15" t="str">
        <f aca="false">IF(AB75="","",SUMIFS(기준SD!$D$2:$D$500,기준SD!$E$2:$E$500,AA75,기준SD!$C$2:$C$500,AB75))</f>
        <v/>
      </c>
      <c r="AE75" s="15" t="str">
        <f aca="false">IF(AC75="","",SUMIFS(기준SD!$D$2:$D$500,기준SD!$E$2:$E$500,AA75,기준SD!$C$2:$C$500,AC75))</f>
        <v/>
      </c>
    </row>
    <row r="76" customFormat="false" ht="15" hidden="false" customHeight="false" outlineLevel="0" collapsed="false">
      <c r="A76" s="8"/>
      <c r="B76" s="8"/>
      <c r="C76" s="8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4" t="n">
        <f aca="false">COUNT(F76:O76)</f>
        <v>0</v>
      </c>
      <c r="Q76" s="15" t="str">
        <f aca="false">IF(P76&lt;2,"",AVERAGE(F76:O76))</f>
        <v/>
      </c>
      <c r="R76" s="15" t="str">
        <f aca="false">IF(P76&lt;2,"",STDEV(F76:O76))</f>
        <v/>
      </c>
      <c r="S76" s="16" t="str">
        <f aca="false">IF(P76&lt;2,"",IF(Q76=0,"",R76/Q76*100))</f>
        <v/>
      </c>
      <c r="T76" s="15" t="str">
        <f aca="false">IF(AB76="","",IF(AB76=AC76,AD76,AD76+(AE76-AD76)*(Q76-AB76)/(AC76-AB76)))</f>
        <v/>
      </c>
      <c r="U76" s="16" t="str">
        <f aca="false">IF(OR(T76="",R76=""),"",IF(T76=0,"",R76/T76))</f>
        <v/>
      </c>
      <c r="V76" s="17" t="str">
        <f aca="false">IF(Q76="","",IF(T76="","기준없음",IF(R76&lt;=T76*$C$2,"합격","불합격")))</f>
        <v/>
      </c>
      <c r="W76" s="18" t="str">
        <f aca="false">IF(OR(Q76="",D76=""),"",Q76-D76)</f>
        <v/>
      </c>
      <c r="X76" s="15" t="str">
        <f aca="false">IF(W76="","",IF(E76&lt;&gt;"",E76,IF(T76="","",T76*$C$3)))</f>
        <v/>
      </c>
      <c r="Y76" s="17" t="str">
        <f aca="false">IF(OR(W76="",X76=""),"",IF(ABS(W76)&lt;=X76,"합격","불합격"))</f>
        <v/>
      </c>
      <c r="Z76" s="19" t="str">
        <f aca="false">IF(OR(AA76="",Q76=""),"",IF(AB76="","기준SD 데이터 없음 ",IF(Q76&lt;_xlfn.MINIFS(기준SD!$C$2:$C$500,기준SD!$E$2:$E$500,AA76),"최저 레벨 미만→최저 레벨 SD 적용 ",IF(Q76&gt;_xlfn.MAXIFS(기준SD!$C$2:$C$500,기준SD!$E$2:$E$500,AA76),"최고 레벨 초과→최고 레벨 SD 적용 ","")))&amp;IF(SUMIFS(원소정보!$E$2:$E$200,원소정보!$F$2:$F$200,AA76)&gt;0,IF(Q76&gt;SUMIFS(원소정보!$E$2:$E$200,원소정보!$F$2:$F$200,AA76),"검량범위 초과 ",""),"")&amp;IF(SUMIFS(원소정보!$D$2:$D$200,원소정보!$F$2:$F$200,AA76)&gt;0,IF(Q76&lt;SUMIFS(원소정보!$D$2:$D$200,원소정보!$F$2:$F$200,AA76)/10000,"검출한계 미만",""),""))</f>
        <v/>
      </c>
      <c r="AA76" s="19" t="str">
        <f aca="false">IF(OR(A76="",C76=""),"",A76&amp;"|"&amp;C76)</f>
        <v/>
      </c>
      <c r="AB76" s="20" t="str">
        <f aca="false">IF(OR(AA76="",Q76=""),"",IF(COUNTIF(기준SD!$E$2:$E$500,AA76)=0,"",IF(COUNTIFS(기준SD!$E$2:$E$500,AA76,기준SD!$C$2:$C$500,"&lt;="&amp;Q76)=0,_xlfn.MINIFS(기준SD!$C$2:$C$500,기준SD!$E$2:$E$500,AA76),_xlfn.MAXIFS(기준SD!$C$2:$C$500,기준SD!$E$2:$E$500,AA76,기준SD!$C$2:$C$500,"&lt;="&amp;Q76))))</f>
        <v/>
      </c>
      <c r="AC76" s="20" t="str">
        <f aca="false">IF(AB76="","",IF(COUNTIFS(기준SD!$E$2:$E$500,AA76,기준SD!$C$2:$C$500,"&gt;="&amp;Q76)=0,_xlfn.MAXIFS(기준SD!$C$2:$C$500,기준SD!$E$2:$E$500,AA76),_xlfn.MINIFS(기준SD!$C$2:$C$500,기준SD!$E$2:$E$500,AA76,기준SD!$C$2:$C$500,"&gt;="&amp;Q76)))</f>
        <v/>
      </c>
      <c r="AD76" s="15" t="str">
        <f aca="false">IF(AB76="","",SUMIFS(기준SD!$D$2:$D$500,기준SD!$E$2:$E$500,AA76,기준SD!$C$2:$C$500,AB76))</f>
        <v/>
      </c>
      <c r="AE76" s="15" t="str">
        <f aca="false">IF(AC76="","",SUMIFS(기준SD!$D$2:$D$500,기준SD!$E$2:$E$500,AA76,기준SD!$C$2:$C$500,AC76))</f>
        <v/>
      </c>
    </row>
    <row r="77" customFormat="false" ht="15" hidden="false" customHeight="false" outlineLevel="0" collapsed="false">
      <c r="A77" s="8"/>
      <c r="B77" s="8"/>
      <c r="C77" s="8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4" t="n">
        <f aca="false">COUNT(F77:O77)</f>
        <v>0</v>
      </c>
      <c r="Q77" s="15" t="str">
        <f aca="false">IF(P77&lt;2,"",AVERAGE(F77:O77))</f>
        <v/>
      </c>
      <c r="R77" s="15" t="str">
        <f aca="false">IF(P77&lt;2,"",STDEV(F77:O77))</f>
        <v/>
      </c>
      <c r="S77" s="16" t="str">
        <f aca="false">IF(P77&lt;2,"",IF(Q77=0,"",R77/Q77*100))</f>
        <v/>
      </c>
      <c r="T77" s="15" t="str">
        <f aca="false">IF(AB77="","",IF(AB77=AC77,AD77,AD77+(AE77-AD77)*(Q77-AB77)/(AC77-AB77)))</f>
        <v/>
      </c>
      <c r="U77" s="16" t="str">
        <f aca="false">IF(OR(T77="",R77=""),"",IF(T77=0,"",R77/T77))</f>
        <v/>
      </c>
      <c r="V77" s="17" t="str">
        <f aca="false">IF(Q77="","",IF(T77="","기준없음",IF(R77&lt;=T77*$C$2,"합격","불합격")))</f>
        <v/>
      </c>
      <c r="W77" s="18" t="str">
        <f aca="false">IF(OR(Q77="",D77=""),"",Q77-D77)</f>
        <v/>
      </c>
      <c r="X77" s="15" t="str">
        <f aca="false">IF(W77="","",IF(E77&lt;&gt;"",E77,IF(T77="","",T77*$C$3)))</f>
        <v/>
      </c>
      <c r="Y77" s="17" t="str">
        <f aca="false">IF(OR(W77="",X77=""),"",IF(ABS(W77)&lt;=X77,"합격","불합격"))</f>
        <v/>
      </c>
      <c r="Z77" s="19" t="str">
        <f aca="false">IF(OR(AA77="",Q77=""),"",IF(AB77="","기준SD 데이터 없음 ",IF(Q77&lt;_xlfn.MINIFS(기준SD!$C$2:$C$500,기준SD!$E$2:$E$500,AA77),"최저 레벨 미만→최저 레벨 SD 적용 ",IF(Q77&gt;_xlfn.MAXIFS(기준SD!$C$2:$C$500,기준SD!$E$2:$E$500,AA77),"최고 레벨 초과→최고 레벨 SD 적용 ","")))&amp;IF(SUMIFS(원소정보!$E$2:$E$200,원소정보!$F$2:$F$200,AA77)&gt;0,IF(Q77&gt;SUMIFS(원소정보!$E$2:$E$200,원소정보!$F$2:$F$200,AA77),"검량범위 초과 ",""),"")&amp;IF(SUMIFS(원소정보!$D$2:$D$200,원소정보!$F$2:$F$200,AA77)&gt;0,IF(Q77&lt;SUMIFS(원소정보!$D$2:$D$200,원소정보!$F$2:$F$200,AA77)/10000,"검출한계 미만",""),""))</f>
        <v/>
      </c>
      <c r="AA77" s="19" t="str">
        <f aca="false">IF(OR(A77="",C77=""),"",A77&amp;"|"&amp;C77)</f>
        <v/>
      </c>
      <c r="AB77" s="20" t="str">
        <f aca="false">IF(OR(AA77="",Q77=""),"",IF(COUNTIF(기준SD!$E$2:$E$500,AA77)=0,"",IF(COUNTIFS(기준SD!$E$2:$E$500,AA77,기준SD!$C$2:$C$500,"&lt;="&amp;Q77)=0,_xlfn.MINIFS(기준SD!$C$2:$C$500,기준SD!$E$2:$E$500,AA77),_xlfn.MAXIFS(기준SD!$C$2:$C$500,기준SD!$E$2:$E$500,AA77,기준SD!$C$2:$C$500,"&lt;="&amp;Q77))))</f>
        <v/>
      </c>
      <c r="AC77" s="20" t="str">
        <f aca="false">IF(AB77="","",IF(COUNTIFS(기준SD!$E$2:$E$500,AA77,기준SD!$C$2:$C$500,"&gt;="&amp;Q77)=0,_xlfn.MAXIFS(기준SD!$C$2:$C$500,기준SD!$E$2:$E$500,AA77),_xlfn.MINIFS(기준SD!$C$2:$C$500,기준SD!$E$2:$E$500,AA77,기준SD!$C$2:$C$500,"&gt;="&amp;Q77)))</f>
        <v/>
      </c>
      <c r="AD77" s="15" t="str">
        <f aca="false">IF(AB77="","",SUMIFS(기준SD!$D$2:$D$500,기준SD!$E$2:$E$500,AA77,기준SD!$C$2:$C$500,AB77))</f>
        <v/>
      </c>
      <c r="AE77" s="15" t="str">
        <f aca="false">IF(AC77="","",SUMIFS(기준SD!$D$2:$D$500,기준SD!$E$2:$E$500,AA77,기준SD!$C$2:$C$500,AC77))</f>
        <v/>
      </c>
    </row>
    <row r="78" customFormat="false" ht="15" hidden="false" customHeight="false" outlineLevel="0" collapsed="false">
      <c r="A78" s="8"/>
      <c r="B78" s="8"/>
      <c r="C78" s="8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4" t="n">
        <f aca="false">COUNT(F78:O78)</f>
        <v>0</v>
      </c>
      <c r="Q78" s="15" t="str">
        <f aca="false">IF(P78&lt;2,"",AVERAGE(F78:O78))</f>
        <v/>
      </c>
      <c r="R78" s="15" t="str">
        <f aca="false">IF(P78&lt;2,"",STDEV(F78:O78))</f>
        <v/>
      </c>
      <c r="S78" s="16" t="str">
        <f aca="false">IF(P78&lt;2,"",IF(Q78=0,"",R78/Q78*100))</f>
        <v/>
      </c>
      <c r="T78" s="15" t="str">
        <f aca="false">IF(AB78="","",IF(AB78=AC78,AD78,AD78+(AE78-AD78)*(Q78-AB78)/(AC78-AB78)))</f>
        <v/>
      </c>
      <c r="U78" s="16" t="str">
        <f aca="false">IF(OR(T78="",R78=""),"",IF(T78=0,"",R78/T78))</f>
        <v/>
      </c>
      <c r="V78" s="17" t="str">
        <f aca="false">IF(Q78="","",IF(T78="","기준없음",IF(R78&lt;=T78*$C$2,"합격","불합격")))</f>
        <v/>
      </c>
      <c r="W78" s="18" t="str">
        <f aca="false">IF(OR(Q78="",D78=""),"",Q78-D78)</f>
        <v/>
      </c>
      <c r="X78" s="15" t="str">
        <f aca="false">IF(W78="","",IF(E78&lt;&gt;"",E78,IF(T78="","",T78*$C$3)))</f>
        <v/>
      </c>
      <c r="Y78" s="17" t="str">
        <f aca="false">IF(OR(W78="",X78=""),"",IF(ABS(W78)&lt;=X78,"합격","불합격"))</f>
        <v/>
      </c>
      <c r="Z78" s="19" t="str">
        <f aca="false">IF(OR(AA78="",Q78=""),"",IF(AB78="","기준SD 데이터 없음 ",IF(Q78&lt;_xlfn.MINIFS(기준SD!$C$2:$C$500,기준SD!$E$2:$E$500,AA78),"최저 레벨 미만→최저 레벨 SD 적용 ",IF(Q78&gt;_xlfn.MAXIFS(기준SD!$C$2:$C$500,기준SD!$E$2:$E$500,AA78),"최고 레벨 초과→최고 레벨 SD 적용 ","")))&amp;IF(SUMIFS(원소정보!$E$2:$E$200,원소정보!$F$2:$F$200,AA78)&gt;0,IF(Q78&gt;SUMIFS(원소정보!$E$2:$E$200,원소정보!$F$2:$F$200,AA78),"검량범위 초과 ",""),"")&amp;IF(SUMIFS(원소정보!$D$2:$D$200,원소정보!$F$2:$F$200,AA78)&gt;0,IF(Q78&lt;SUMIFS(원소정보!$D$2:$D$200,원소정보!$F$2:$F$200,AA78)/10000,"검출한계 미만",""),""))</f>
        <v/>
      </c>
      <c r="AA78" s="19" t="str">
        <f aca="false">IF(OR(A78="",C78=""),"",A78&amp;"|"&amp;C78)</f>
        <v/>
      </c>
      <c r="AB78" s="20" t="str">
        <f aca="false">IF(OR(AA78="",Q78=""),"",IF(COUNTIF(기준SD!$E$2:$E$500,AA78)=0,"",IF(COUNTIFS(기준SD!$E$2:$E$500,AA78,기준SD!$C$2:$C$500,"&lt;="&amp;Q78)=0,_xlfn.MINIFS(기준SD!$C$2:$C$500,기준SD!$E$2:$E$500,AA78),_xlfn.MAXIFS(기준SD!$C$2:$C$500,기준SD!$E$2:$E$500,AA78,기준SD!$C$2:$C$500,"&lt;="&amp;Q78))))</f>
        <v/>
      </c>
      <c r="AC78" s="20" t="str">
        <f aca="false">IF(AB78="","",IF(COUNTIFS(기준SD!$E$2:$E$500,AA78,기준SD!$C$2:$C$500,"&gt;="&amp;Q78)=0,_xlfn.MAXIFS(기준SD!$C$2:$C$500,기준SD!$E$2:$E$500,AA78),_xlfn.MINIFS(기준SD!$C$2:$C$500,기준SD!$E$2:$E$500,AA78,기준SD!$C$2:$C$500,"&gt;="&amp;Q78)))</f>
        <v/>
      </c>
      <c r="AD78" s="15" t="str">
        <f aca="false">IF(AB78="","",SUMIFS(기준SD!$D$2:$D$500,기준SD!$E$2:$E$500,AA78,기준SD!$C$2:$C$500,AB78))</f>
        <v/>
      </c>
      <c r="AE78" s="15" t="str">
        <f aca="false">IF(AC78="","",SUMIFS(기준SD!$D$2:$D$500,기준SD!$E$2:$E$500,AA78,기준SD!$C$2:$C$500,AC78))</f>
        <v/>
      </c>
    </row>
    <row r="79" customFormat="false" ht="15" hidden="false" customHeight="false" outlineLevel="0" collapsed="false">
      <c r="A79" s="8"/>
      <c r="B79" s="8"/>
      <c r="C79" s="8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4" t="n">
        <f aca="false">COUNT(F79:O79)</f>
        <v>0</v>
      </c>
      <c r="Q79" s="15" t="str">
        <f aca="false">IF(P79&lt;2,"",AVERAGE(F79:O79))</f>
        <v/>
      </c>
      <c r="R79" s="15" t="str">
        <f aca="false">IF(P79&lt;2,"",STDEV(F79:O79))</f>
        <v/>
      </c>
      <c r="S79" s="16" t="str">
        <f aca="false">IF(P79&lt;2,"",IF(Q79=0,"",R79/Q79*100))</f>
        <v/>
      </c>
      <c r="T79" s="15" t="str">
        <f aca="false">IF(AB79="","",IF(AB79=AC79,AD79,AD79+(AE79-AD79)*(Q79-AB79)/(AC79-AB79)))</f>
        <v/>
      </c>
      <c r="U79" s="16" t="str">
        <f aca="false">IF(OR(T79="",R79=""),"",IF(T79=0,"",R79/T79))</f>
        <v/>
      </c>
      <c r="V79" s="17" t="str">
        <f aca="false">IF(Q79="","",IF(T79="","기준없음",IF(R79&lt;=T79*$C$2,"합격","불합격")))</f>
        <v/>
      </c>
      <c r="W79" s="18" t="str">
        <f aca="false">IF(OR(Q79="",D79=""),"",Q79-D79)</f>
        <v/>
      </c>
      <c r="X79" s="15" t="str">
        <f aca="false">IF(W79="","",IF(E79&lt;&gt;"",E79,IF(T79="","",T79*$C$3)))</f>
        <v/>
      </c>
      <c r="Y79" s="17" t="str">
        <f aca="false">IF(OR(W79="",X79=""),"",IF(ABS(W79)&lt;=X79,"합격","불합격"))</f>
        <v/>
      </c>
      <c r="Z79" s="19" t="str">
        <f aca="false">IF(OR(AA79="",Q79=""),"",IF(AB79="","기준SD 데이터 없음 ",IF(Q79&lt;_xlfn.MINIFS(기준SD!$C$2:$C$500,기준SD!$E$2:$E$500,AA79),"최저 레벨 미만→최저 레벨 SD 적용 ",IF(Q79&gt;_xlfn.MAXIFS(기준SD!$C$2:$C$500,기준SD!$E$2:$E$500,AA79),"최고 레벨 초과→최고 레벨 SD 적용 ","")))&amp;IF(SUMIFS(원소정보!$E$2:$E$200,원소정보!$F$2:$F$200,AA79)&gt;0,IF(Q79&gt;SUMIFS(원소정보!$E$2:$E$200,원소정보!$F$2:$F$200,AA79),"검량범위 초과 ",""),"")&amp;IF(SUMIFS(원소정보!$D$2:$D$200,원소정보!$F$2:$F$200,AA79)&gt;0,IF(Q79&lt;SUMIFS(원소정보!$D$2:$D$200,원소정보!$F$2:$F$200,AA79)/10000,"검출한계 미만",""),""))</f>
        <v/>
      </c>
      <c r="AA79" s="19" t="str">
        <f aca="false">IF(OR(A79="",C79=""),"",A79&amp;"|"&amp;C79)</f>
        <v/>
      </c>
      <c r="AB79" s="20" t="str">
        <f aca="false">IF(OR(AA79="",Q79=""),"",IF(COUNTIF(기준SD!$E$2:$E$500,AA79)=0,"",IF(COUNTIFS(기준SD!$E$2:$E$500,AA79,기준SD!$C$2:$C$500,"&lt;="&amp;Q79)=0,_xlfn.MINIFS(기준SD!$C$2:$C$500,기준SD!$E$2:$E$500,AA79),_xlfn.MAXIFS(기준SD!$C$2:$C$500,기준SD!$E$2:$E$500,AA79,기준SD!$C$2:$C$500,"&lt;="&amp;Q79))))</f>
        <v/>
      </c>
      <c r="AC79" s="20" t="str">
        <f aca="false">IF(AB79="","",IF(COUNTIFS(기준SD!$E$2:$E$500,AA79,기준SD!$C$2:$C$500,"&gt;="&amp;Q79)=0,_xlfn.MAXIFS(기준SD!$C$2:$C$500,기준SD!$E$2:$E$500,AA79),_xlfn.MINIFS(기준SD!$C$2:$C$500,기준SD!$E$2:$E$500,AA79,기준SD!$C$2:$C$500,"&gt;="&amp;Q79)))</f>
        <v/>
      </c>
      <c r="AD79" s="15" t="str">
        <f aca="false">IF(AB79="","",SUMIFS(기준SD!$D$2:$D$500,기준SD!$E$2:$E$500,AA79,기준SD!$C$2:$C$500,AB79))</f>
        <v/>
      </c>
      <c r="AE79" s="15" t="str">
        <f aca="false">IF(AC79="","",SUMIFS(기준SD!$D$2:$D$500,기준SD!$E$2:$E$500,AA79,기준SD!$C$2:$C$500,AC79))</f>
        <v/>
      </c>
    </row>
    <row r="80" customFormat="false" ht="15" hidden="false" customHeight="false" outlineLevel="0" collapsed="false">
      <c r="A80" s="8"/>
      <c r="B80" s="8"/>
      <c r="C80" s="8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4" t="n">
        <f aca="false">COUNT(F80:O80)</f>
        <v>0</v>
      </c>
      <c r="Q80" s="15" t="str">
        <f aca="false">IF(P80&lt;2,"",AVERAGE(F80:O80))</f>
        <v/>
      </c>
      <c r="R80" s="15" t="str">
        <f aca="false">IF(P80&lt;2,"",STDEV(F80:O80))</f>
        <v/>
      </c>
      <c r="S80" s="16" t="str">
        <f aca="false">IF(P80&lt;2,"",IF(Q80=0,"",R80/Q80*100))</f>
        <v/>
      </c>
      <c r="T80" s="15" t="str">
        <f aca="false">IF(AB80="","",IF(AB80=AC80,AD80,AD80+(AE80-AD80)*(Q80-AB80)/(AC80-AB80)))</f>
        <v/>
      </c>
      <c r="U80" s="16" t="str">
        <f aca="false">IF(OR(T80="",R80=""),"",IF(T80=0,"",R80/T80))</f>
        <v/>
      </c>
      <c r="V80" s="17" t="str">
        <f aca="false">IF(Q80="","",IF(T80="","기준없음",IF(R80&lt;=T80*$C$2,"합격","불합격")))</f>
        <v/>
      </c>
      <c r="W80" s="18" t="str">
        <f aca="false">IF(OR(Q80="",D80=""),"",Q80-D80)</f>
        <v/>
      </c>
      <c r="X80" s="15" t="str">
        <f aca="false">IF(W80="","",IF(E80&lt;&gt;"",E80,IF(T80="","",T80*$C$3)))</f>
        <v/>
      </c>
      <c r="Y80" s="17" t="str">
        <f aca="false">IF(OR(W80="",X80=""),"",IF(ABS(W80)&lt;=X80,"합격","불합격"))</f>
        <v/>
      </c>
      <c r="Z80" s="19" t="str">
        <f aca="false">IF(OR(AA80="",Q80=""),"",IF(AB80="","기준SD 데이터 없음 ",IF(Q80&lt;_xlfn.MINIFS(기준SD!$C$2:$C$500,기준SD!$E$2:$E$500,AA80),"최저 레벨 미만→최저 레벨 SD 적용 ",IF(Q80&gt;_xlfn.MAXIFS(기준SD!$C$2:$C$500,기준SD!$E$2:$E$500,AA80),"최고 레벨 초과→최고 레벨 SD 적용 ","")))&amp;IF(SUMIFS(원소정보!$E$2:$E$200,원소정보!$F$2:$F$200,AA80)&gt;0,IF(Q80&gt;SUMIFS(원소정보!$E$2:$E$200,원소정보!$F$2:$F$200,AA80),"검량범위 초과 ",""),"")&amp;IF(SUMIFS(원소정보!$D$2:$D$200,원소정보!$F$2:$F$200,AA80)&gt;0,IF(Q80&lt;SUMIFS(원소정보!$D$2:$D$200,원소정보!$F$2:$F$200,AA80)/10000,"검출한계 미만",""),""))</f>
        <v/>
      </c>
      <c r="AA80" s="19" t="str">
        <f aca="false">IF(OR(A80="",C80=""),"",A80&amp;"|"&amp;C80)</f>
        <v/>
      </c>
      <c r="AB80" s="20" t="str">
        <f aca="false">IF(OR(AA80="",Q80=""),"",IF(COUNTIF(기준SD!$E$2:$E$500,AA80)=0,"",IF(COUNTIFS(기준SD!$E$2:$E$500,AA80,기준SD!$C$2:$C$500,"&lt;="&amp;Q80)=0,_xlfn.MINIFS(기준SD!$C$2:$C$500,기준SD!$E$2:$E$500,AA80),_xlfn.MAXIFS(기준SD!$C$2:$C$500,기준SD!$E$2:$E$500,AA80,기준SD!$C$2:$C$500,"&lt;="&amp;Q80))))</f>
        <v/>
      </c>
      <c r="AC80" s="20" t="str">
        <f aca="false">IF(AB80="","",IF(COUNTIFS(기준SD!$E$2:$E$500,AA80,기준SD!$C$2:$C$500,"&gt;="&amp;Q80)=0,_xlfn.MAXIFS(기준SD!$C$2:$C$500,기준SD!$E$2:$E$500,AA80),_xlfn.MINIFS(기준SD!$C$2:$C$500,기준SD!$E$2:$E$500,AA80,기준SD!$C$2:$C$500,"&gt;="&amp;Q80)))</f>
        <v/>
      </c>
      <c r="AD80" s="15" t="str">
        <f aca="false">IF(AB80="","",SUMIFS(기준SD!$D$2:$D$500,기준SD!$E$2:$E$500,AA80,기준SD!$C$2:$C$500,AB80))</f>
        <v/>
      </c>
      <c r="AE80" s="15" t="str">
        <f aca="false">IF(AC80="","",SUMIFS(기준SD!$D$2:$D$500,기준SD!$E$2:$E$500,AA80,기준SD!$C$2:$C$500,AC80))</f>
        <v/>
      </c>
    </row>
  </sheetData>
  <conditionalFormatting sqref="V6:V80">
    <cfRule type="cellIs" priority="2" operator="equal" aboveAverage="0" equalAverage="0" bottom="0" percent="0" rank="0" text="" dxfId="0">
      <formula>"합격"</formula>
    </cfRule>
    <cfRule type="cellIs" priority="3" operator="equal" aboveAverage="0" equalAverage="0" bottom="0" percent="0" rank="0" text="" dxfId="1">
      <formula>"불합격"</formula>
    </cfRule>
  </conditionalFormatting>
  <conditionalFormatting sqref="Y6:Y80">
    <cfRule type="cellIs" priority="4" operator="equal" aboveAverage="0" equalAverage="0" bottom="0" percent="0" rank="0" text="" dxfId="0">
      <formula>"합격"</formula>
    </cfRule>
    <cfRule type="cellIs" priority="5" operator="equal" aboveAverage="0" equalAverage="0" bottom="0" percent="0" rank="0" text="" dxfId="1">
      <formula>"불합격"</formula>
    </cfRule>
  </conditionalFormatting>
  <dataValidations count="1">
    <dataValidation allowBlank="true" errorStyle="stop" operator="between" showDropDown="false" showErrorMessage="false" showInputMessage="false" sqref="A6:A80" type="list">
      <formula1>"Fe,Cu,Al"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10" t="s">
        <v>35</v>
      </c>
      <c r="B1" s="10" t="s">
        <v>37</v>
      </c>
      <c r="C1" s="10" t="s">
        <v>86</v>
      </c>
      <c r="D1" s="10" t="s">
        <v>87</v>
      </c>
      <c r="E1" s="10" t="s">
        <v>88</v>
      </c>
      <c r="F1" s="10" t="s">
        <v>60</v>
      </c>
    </row>
    <row r="2" customFormat="false" ht="15" hidden="false" customHeight="false" outlineLevel="0" collapsed="false">
      <c r="A2" s="8" t="s">
        <v>66</v>
      </c>
      <c r="B2" s="8" t="s">
        <v>69</v>
      </c>
      <c r="C2" s="21" t="n">
        <v>0.005</v>
      </c>
      <c r="D2" s="13" t="n">
        <v>0.001</v>
      </c>
      <c r="E2" s="19" t="str">
        <f aca="false">IF(OR(A2="",B2=""),"",A2&amp;"|"&amp;B2)</f>
        <v>Fe|Al</v>
      </c>
      <c r="F2" s="22" t="s">
        <v>29</v>
      </c>
    </row>
    <row r="3" customFormat="false" ht="15" hidden="false" customHeight="false" outlineLevel="0" collapsed="false">
      <c r="A3" s="8" t="s">
        <v>66</v>
      </c>
      <c r="B3" s="8" t="s">
        <v>69</v>
      </c>
      <c r="C3" s="21" t="n">
        <v>0.01</v>
      </c>
      <c r="D3" s="13" t="n">
        <v>0.001</v>
      </c>
      <c r="E3" s="19" t="str">
        <f aca="false">IF(OR(A3="",B3=""),"",A3&amp;"|"&amp;B3)</f>
        <v>Fe|Al</v>
      </c>
      <c r="F3" s="22"/>
    </row>
    <row r="4" customFormat="false" ht="15" hidden="false" customHeight="false" outlineLevel="0" collapsed="false">
      <c r="A4" s="8" t="s">
        <v>66</v>
      </c>
      <c r="B4" s="8" t="s">
        <v>69</v>
      </c>
      <c r="C4" s="21" t="n">
        <v>0.05</v>
      </c>
      <c r="D4" s="13" t="n">
        <v>0.001</v>
      </c>
      <c r="E4" s="19" t="str">
        <f aca="false">IF(OR(A4="",B4=""),"",A4&amp;"|"&amp;B4)</f>
        <v>Fe|Al</v>
      </c>
      <c r="F4" s="22"/>
    </row>
    <row r="5" customFormat="false" ht="15" hidden="false" customHeight="false" outlineLevel="0" collapsed="false">
      <c r="A5" s="8" t="s">
        <v>66</v>
      </c>
      <c r="B5" s="8" t="s">
        <v>69</v>
      </c>
      <c r="C5" s="21" t="n">
        <v>0.1</v>
      </c>
      <c r="D5" s="13" t="n">
        <v>0.002</v>
      </c>
      <c r="E5" s="19" t="str">
        <f aca="false">IF(OR(A5="",B5=""),"",A5&amp;"|"&amp;B5)</f>
        <v>Fe|Al</v>
      </c>
      <c r="F5" s="22"/>
    </row>
    <row r="6" customFormat="false" ht="15" hidden="false" customHeight="false" outlineLevel="0" collapsed="false">
      <c r="A6" s="8" t="s">
        <v>66</v>
      </c>
      <c r="B6" s="8" t="s">
        <v>69</v>
      </c>
      <c r="C6" s="21" t="n">
        <v>0.3</v>
      </c>
      <c r="D6" s="13" t="n">
        <v>0.004</v>
      </c>
      <c r="E6" s="19" t="str">
        <f aca="false">IF(OR(A6="",B6=""),"",A6&amp;"|"&amp;B6)</f>
        <v>Fe|Al</v>
      </c>
      <c r="F6" s="22"/>
    </row>
    <row r="7" customFormat="false" ht="15" hidden="false" customHeight="false" outlineLevel="0" collapsed="false">
      <c r="A7" s="8" t="s">
        <v>66</v>
      </c>
      <c r="B7" s="8" t="s">
        <v>69</v>
      </c>
      <c r="C7" s="21" t="n">
        <v>0.5</v>
      </c>
      <c r="D7" s="13" t="n">
        <v>0.005</v>
      </c>
      <c r="E7" s="19" t="str">
        <f aca="false">IF(OR(A7="",B7=""),"",A7&amp;"|"&amp;B7)</f>
        <v>Fe|Al</v>
      </c>
      <c r="F7" s="22"/>
    </row>
    <row r="8" customFormat="false" ht="15" hidden="false" customHeight="false" outlineLevel="0" collapsed="false">
      <c r="A8" s="8" t="s">
        <v>66</v>
      </c>
      <c r="B8" s="8" t="s">
        <v>70</v>
      </c>
      <c r="C8" s="21" t="n">
        <v>0.01</v>
      </c>
      <c r="D8" s="13" t="n">
        <v>0.002</v>
      </c>
      <c r="E8" s="19" t="str">
        <f aca="false">IF(OR(A8="",B8=""),"",A8&amp;"|"&amp;B8)</f>
        <v>Fe|As</v>
      </c>
      <c r="F8" s="22"/>
    </row>
    <row r="9" customFormat="false" ht="15" hidden="false" customHeight="false" outlineLevel="0" collapsed="false">
      <c r="A9" s="8" t="s">
        <v>66</v>
      </c>
      <c r="B9" s="8" t="s">
        <v>70</v>
      </c>
      <c r="C9" s="21" t="n">
        <v>0.05</v>
      </c>
      <c r="D9" s="13" t="n">
        <v>0.002</v>
      </c>
      <c r="E9" s="19" t="str">
        <f aca="false">IF(OR(A9="",B9=""),"",A9&amp;"|"&amp;B9)</f>
        <v>Fe|As</v>
      </c>
      <c r="F9" s="22"/>
    </row>
    <row r="10" customFormat="false" ht="15" hidden="false" customHeight="false" outlineLevel="0" collapsed="false">
      <c r="A10" s="8" t="s">
        <v>66</v>
      </c>
      <c r="B10" s="8" t="s">
        <v>70</v>
      </c>
      <c r="C10" s="21" t="n">
        <v>0.1</v>
      </c>
      <c r="D10" s="13" t="n">
        <v>0.004</v>
      </c>
      <c r="E10" s="19" t="str">
        <f aca="false">IF(OR(A10="",B10=""),"",A10&amp;"|"&amp;B10)</f>
        <v>Fe|As</v>
      </c>
      <c r="F10" s="22"/>
    </row>
    <row r="11" customFormat="false" ht="15" hidden="false" customHeight="false" outlineLevel="0" collapsed="false">
      <c r="A11" s="8" t="s">
        <v>66</v>
      </c>
      <c r="B11" s="8" t="s">
        <v>71</v>
      </c>
      <c r="C11" s="21" t="n">
        <v>0.005</v>
      </c>
      <c r="D11" s="13" t="n">
        <v>0.0002</v>
      </c>
      <c r="E11" s="19" t="str">
        <f aca="false">IF(OR(A11="",B11=""),"",A11&amp;"|"&amp;B11)</f>
        <v>Fe|B</v>
      </c>
      <c r="F11" s="22"/>
    </row>
    <row r="12" customFormat="false" ht="15" hidden="false" customHeight="false" outlineLevel="0" collapsed="false">
      <c r="A12" s="8" t="s">
        <v>66</v>
      </c>
      <c r="B12" s="8" t="s">
        <v>71</v>
      </c>
      <c r="C12" s="21" t="n">
        <v>0.01</v>
      </c>
      <c r="D12" s="13" t="n">
        <v>0.0004</v>
      </c>
      <c r="E12" s="19" t="str">
        <f aca="false">IF(OR(A12="",B12=""),"",A12&amp;"|"&amp;B12)</f>
        <v>Fe|B</v>
      </c>
      <c r="F12" s="22"/>
    </row>
    <row r="13" customFormat="false" ht="15" hidden="false" customHeight="false" outlineLevel="0" collapsed="false">
      <c r="A13" s="8" t="s">
        <v>66</v>
      </c>
      <c r="B13" s="8" t="s">
        <v>72</v>
      </c>
      <c r="C13" s="21" t="n">
        <v>0.01</v>
      </c>
      <c r="D13" s="13" t="n">
        <v>0.001</v>
      </c>
      <c r="E13" s="19" t="str">
        <f aca="false">IF(OR(A13="",B13=""),"",A13&amp;"|"&amp;B13)</f>
        <v>Fe|C</v>
      </c>
      <c r="F13" s="22"/>
    </row>
    <row r="14" customFormat="false" ht="15" hidden="false" customHeight="false" outlineLevel="0" collapsed="false">
      <c r="A14" s="8" t="s">
        <v>66</v>
      </c>
      <c r="B14" s="8" t="s">
        <v>72</v>
      </c>
      <c r="C14" s="21" t="n">
        <v>0.05</v>
      </c>
      <c r="D14" s="13" t="n">
        <v>0.002</v>
      </c>
      <c r="E14" s="19" t="str">
        <f aca="false">IF(OR(A14="",B14=""),"",A14&amp;"|"&amp;B14)</f>
        <v>Fe|C</v>
      </c>
      <c r="F14" s="22"/>
    </row>
    <row r="15" customFormat="false" ht="15" hidden="false" customHeight="false" outlineLevel="0" collapsed="false">
      <c r="A15" s="8" t="s">
        <v>66</v>
      </c>
      <c r="B15" s="8" t="s">
        <v>72</v>
      </c>
      <c r="C15" s="21" t="n">
        <v>0.1</v>
      </c>
      <c r="D15" s="13" t="n">
        <v>0.005</v>
      </c>
      <c r="E15" s="19" t="str">
        <f aca="false">IF(OR(A15="",B15=""),"",A15&amp;"|"&amp;B15)</f>
        <v>Fe|C</v>
      </c>
      <c r="F15" s="22"/>
    </row>
    <row r="16" customFormat="false" ht="15" hidden="false" customHeight="false" outlineLevel="0" collapsed="false">
      <c r="A16" s="8" t="s">
        <v>66</v>
      </c>
      <c r="B16" s="8" t="s">
        <v>72</v>
      </c>
      <c r="C16" s="21" t="n">
        <v>0.3</v>
      </c>
      <c r="D16" s="13" t="n">
        <v>0.01</v>
      </c>
      <c r="E16" s="19" t="str">
        <f aca="false">IF(OR(A16="",B16=""),"",A16&amp;"|"&amp;B16)</f>
        <v>Fe|C</v>
      </c>
      <c r="F16" s="22"/>
    </row>
    <row r="17" customFormat="false" ht="15" hidden="false" customHeight="false" outlineLevel="0" collapsed="false">
      <c r="A17" s="8" t="s">
        <v>66</v>
      </c>
      <c r="B17" s="8" t="s">
        <v>72</v>
      </c>
      <c r="C17" s="21" t="n">
        <v>0.5</v>
      </c>
      <c r="D17" s="13" t="n">
        <v>0.012</v>
      </c>
      <c r="E17" s="19" t="str">
        <f aca="false">IF(OR(A17="",B17=""),"",A17&amp;"|"&amp;B17)</f>
        <v>Fe|C</v>
      </c>
      <c r="F17" s="22"/>
    </row>
    <row r="18" customFormat="false" ht="15" hidden="false" customHeight="false" outlineLevel="0" collapsed="false">
      <c r="A18" s="8" t="s">
        <v>66</v>
      </c>
      <c r="B18" s="8" t="s">
        <v>72</v>
      </c>
      <c r="C18" s="21" t="n">
        <v>1</v>
      </c>
      <c r="D18" s="13" t="n">
        <v>0.015</v>
      </c>
      <c r="E18" s="19" t="str">
        <f aca="false">IF(OR(A18="",B18=""),"",A18&amp;"|"&amp;B18)</f>
        <v>Fe|C</v>
      </c>
      <c r="F18" s="22"/>
    </row>
    <row r="19" customFormat="false" ht="15" hidden="false" customHeight="false" outlineLevel="0" collapsed="false">
      <c r="A19" s="8" t="s">
        <v>66</v>
      </c>
      <c r="B19" s="8" t="s">
        <v>72</v>
      </c>
      <c r="C19" s="21" t="n">
        <v>2</v>
      </c>
      <c r="D19" s="13" t="n">
        <v>0.044</v>
      </c>
      <c r="E19" s="19" t="str">
        <f aca="false">IF(OR(A19="",B19=""),"",A19&amp;"|"&amp;B19)</f>
        <v>Fe|C</v>
      </c>
      <c r="F19" s="22"/>
    </row>
    <row r="20" customFormat="false" ht="15" hidden="false" customHeight="false" outlineLevel="0" collapsed="false">
      <c r="A20" s="8" t="s">
        <v>66</v>
      </c>
      <c r="B20" s="8" t="s">
        <v>72</v>
      </c>
      <c r="C20" s="21" t="n">
        <v>5</v>
      </c>
      <c r="D20" s="13" t="n">
        <v>0.12</v>
      </c>
      <c r="E20" s="19" t="str">
        <f aca="false">IF(OR(A20="",B20=""),"",A20&amp;"|"&amp;B20)</f>
        <v>Fe|C</v>
      </c>
      <c r="F20" s="22"/>
    </row>
    <row r="21" customFormat="false" ht="15" hidden="false" customHeight="false" outlineLevel="0" collapsed="false">
      <c r="A21" s="8" t="s">
        <v>66</v>
      </c>
      <c r="B21" s="8" t="s">
        <v>73</v>
      </c>
      <c r="C21" s="21" t="n">
        <v>0.05</v>
      </c>
      <c r="D21" s="13" t="n">
        <v>0.002</v>
      </c>
      <c r="E21" s="19" t="str">
        <f aca="false">IF(OR(A21="",B21=""),"",A21&amp;"|"&amp;B21)</f>
        <v>Fe|C(air)</v>
      </c>
      <c r="F21" s="22"/>
    </row>
    <row r="22" customFormat="false" ht="15" hidden="false" customHeight="false" outlineLevel="0" collapsed="false">
      <c r="A22" s="8" t="s">
        <v>66</v>
      </c>
      <c r="B22" s="8" t="s">
        <v>73</v>
      </c>
      <c r="C22" s="21" t="n">
        <v>0.1</v>
      </c>
      <c r="D22" s="13" t="n">
        <v>0.005</v>
      </c>
      <c r="E22" s="19" t="str">
        <f aca="false">IF(OR(A22="",B22=""),"",A22&amp;"|"&amp;B22)</f>
        <v>Fe|C(air)</v>
      </c>
      <c r="F22" s="22"/>
    </row>
    <row r="23" customFormat="false" ht="15" hidden="false" customHeight="false" outlineLevel="0" collapsed="false">
      <c r="A23" s="8" t="s">
        <v>66</v>
      </c>
      <c r="B23" s="8" t="s">
        <v>73</v>
      </c>
      <c r="C23" s="21" t="n">
        <v>0.3</v>
      </c>
      <c r="D23" s="13" t="n">
        <v>0.01</v>
      </c>
      <c r="E23" s="19" t="str">
        <f aca="false">IF(OR(A23="",B23=""),"",A23&amp;"|"&amp;B23)</f>
        <v>Fe|C(air)</v>
      </c>
      <c r="F23" s="22"/>
    </row>
    <row r="24" customFormat="false" ht="15" hidden="false" customHeight="false" outlineLevel="0" collapsed="false">
      <c r="A24" s="8" t="s">
        <v>66</v>
      </c>
      <c r="B24" s="8" t="s">
        <v>73</v>
      </c>
      <c r="C24" s="21" t="n">
        <v>0.5</v>
      </c>
      <c r="D24" s="13" t="n">
        <v>0.012</v>
      </c>
      <c r="E24" s="19" t="str">
        <f aca="false">IF(OR(A24="",B24=""),"",A24&amp;"|"&amp;B24)</f>
        <v>Fe|C(air)</v>
      </c>
      <c r="F24" s="22"/>
    </row>
    <row r="25" customFormat="false" ht="15" hidden="false" customHeight="false" outlineLevel="0" collapsed="false">
      <c r="A25" s="8" t="s">
        <v>66</v>
      </c>
      <c r="B25" s="8" t="s">
        <v>73</v>
      </c>
      <c r="C25" s="21" t="n">
        <v>1</v>
      </c>
      <c r="D25" s="13" t="n">
        <v>0.015</v>
      </c>
      <c r="E25" s="19" t="str">
        <f aca="false">IF(OR(A25="",B25=""),"",A25&amp;"|"&amp;B25)</f>
        <v>Fe|C(air)</v>
      </c>
      <c r="F25" s="22"/>
    </row>
    <row r="26" customFormat="false" ht="15" hidden="false" customHeight="false" outlineLevel="0" collapsed="false">
      <c r="A26" s="8" t="s">
        <v>66</v>
      </c>
      <c r="B26" s="8" t="s">
        <v>73</v>
      </c>
      <c r="C26" s="21" t="n">
        <v>2</v>
      </c>
      <c r="D26" s="13" t="n">
        <v>0.044</v>
      </c>
      <c r="E26" s="19" t="str">
        <f aca="false">IF(OR(A26="",B26=""),"",A26&amp;"|"&amp;B26)</f>
        <v>Fe|C(air)</v>
      </c>
      <c r="F26" s="22"/>
    </row>
    <row r="27" customFormat="false" ht="15" hidden="false" customHeight="false" outlineLevel="0" collapsed="false">
      <c r="A27" s="8" t="s">
        <v>66</v>
      </c>
      <c r="B27" s="8" t="s">
        <v>73</v>
      </c>
      <c r="C27" s="21" t="n">
        <v>5</v>
      </c>
      <c r="D27" s="13" t="n">
        <v>0.12</v>
      </c>
      <c r="E27" s="19" t="str">
        <f aca="false">IF(OR(A27="",B27=""),"",A27&amp;"|"&amp;B27)</f>
        <v>Fe|C(air)</v>
      </c>
      <c r="F27" s="22"/>
    </row>
    <row r="28" customFormat="false" ht="15" hidden="false" customHeight="false" outlineLevel="0" collapsed="false">
      <c r="A28" s="8" t="s">
        <v>66</v>
      </c>
      <c r="B28" s="8" t="s">
        <v>74</v>
      </c>
      <c r="C28" s="21" t="n">
        <v>0.01</v>
      </c>
      <c r="D28" s="13" t="n">
        <v>0.003</v>
      </c>
      <c r="E28" s="19" t="str">
        <f aca="false">IF(OR(A28="",B28=""),"",A28&amp;"|"&amp;B28)</f>
        <v>Fe|Co</v>
      </c>
      <c r="F28" s="22"/>
    </row>
    <row r="29" customFormat="false" ht="15" hidden="false" customHeight="false" outlineLevel="0" collapsed="false">
      <c r="A29" s="8" t="s">
        <v>66</v>
      </c>
      <c r="B29" s="8" t="s">
        <v>74</v>
      </c>
      <c r="C29" s="21" t="n">
        <v>0.05</v>
      </c>
      <c r="D29" s="13" t="n">
        <v>0.003</v>
      </c>
      <c r="E29" s="19" t="str">
        <f aca="false">IF(OR(A29="",B29=""),"",A29&amp;"|"&amp;B29)</f>
        <v>Fe|Co</v>
      </c>
      <c r="F29" s="22"/>
    </row>
    <row r="30" customFormat="false" ht="15" hidden="false" customHeight="false" outlineLevel="0" collapsed="false">
      <c r="A30" s="8" t="s">
        <v>66</v>
      </c>
      <c r="B30" s="8" t="s">
        <v>74</v>
      </c>
      <c r="C30" s="21" t="n">
        <v>0.1</v>
      </c>
      <c r="D30" s="13" t="n">
        <v>0.003</v>
      </c>
      <c r="E30" s="19" t="str">
        <f aca="false">IF(OR(A30="",B30=""),"",A30&amp;"|"&amp;B30)</f>
        <v>Fe|Co</v>
      </c>
      <c r="F30" s="22"/>
    </row>
    <row r="31" customFormat="false" ht="15" hidden="false" customHeight="false" outlineLevel="0" collapsed="false">
      <c r="A31" s="8" t="s">
        <v>66</v>
      </c>
      <c r="B31" s="8" t="s">
        <v>74</v>
      </c>
      <c r="C31" s="21" t="n">
        <v>0.3</v>
      </c>
      <c r="D31" s="13" t="n">
        <v>0.003</v>
      </c>
      <c r="E31" s="19" t="str">
        <f aca="false">IF(OR(A31="",B31=""),"",A31&amp;"|"&amp;B31)</f>
        <v>Fe|Co</v>
      </c>
      <c r="F31" s="22"/>
    </row>
    <row r="32" customFormat="false" ht="15" hidden="false" customHeight="false" outlineLevel="0" collapsed="false">
      <c r="A32" s="8" t="s">
        <v>66</v>
      </c>
      <c r="B32" s="8" t="s">
        <v>74</v>
      </c>
      <c r="C32" s="21" t="n">
        <v>0.5</v>
      </c>
      <c r="D32" s="13" t="n">
        <v>0.005</v>
      </c>
      <c r="E32" s="19" t="str">
        <f aca="false">IF(OR(A32="",B32=""),"",A32&amp;"|"&amp;B32)</f>
        <v>Fe|Co</v>
      </c>
      <c r="F32" s="22"/>
    </row>
    <row r="33" customFormat="false" ht="15" hidden="false" customHeight="false" outlineLevel="0" collapsed="false">
      <c r="A33" s="8" t="s">
        <v>66</v>
      </c>
      <c r="B33" s="8" t="s">
        <v>74</v>
      </c>
      <c r="C33" s="21" t="n">
        <v>5</v>
      </c>
      <c r="D33" s="13" t="n">
        <v>0.049</v>
      </c>
      <c r="E33" s="19" t="str">
        <f aca="false">IF(OR(A33="",B33=""),"",A33&amp;"|"&amp;B33)</f>
        <v>Fe|Co</v>
      </c>
      <c r="F33" s="22"/>
    </row>
    <row r="34" customFormat="false" ht="15" hidden="false" customHeight="false" outlineLevel="0" collapsed="false">
      <c r="A34" s="8" t="s">
        <v>66</v>
      </c>
      <c r="B34" s="8" t="s">
        <v>74</v>
      </c>
      <c r="C34" s="21" t="n">
        <v>10</v>
      </c>
      <c r="D34" s="13" t="n">
        <v>0.06</v>
      </c>
      <c r="E34" s="19" t="str">
        <f aca="false">IF(OR(A34="",B34=""),"",A34&amp;"|"&amp;B34)</f>
        <v>Fe|Co</v>
      </c>
      <c r="F34" s="22"/>
    </row>
    <row r="35" customFormat="false" ht="15" hidden="false" customHeight="false" outlineLevel="0" collapsed="false">
      <c r="A35" s="8" t="s">
        <v>66</v>
      </c>
      <c r="B35" s="8" t="s">
        <v>75</v>
      </c>
      <c r="C35" s="21" t="n">
        <v>0.01</v>
      </c>
      <c r="D35" s="13" t="n">
        <v>0.002</v>
      </c>
      <c r="E35" s="19" t="str">
        <f aca="false">IF(OR(A35="",B35=""),"",A35&amp;"|"&amp;B35)</f>
        <v>Fe|Cr</v>
      </c>
      <c r="F35" s="22"/>
    </row>
    <row r="36" customFormat="false" ht="15" hidden="false" customHeight="false" outlineLevel="0" collapsed="false">
      <c r="A36" s="8" t="s">
        <v>66</v>
      </c>
      <c r="B36" s="8" t="s">
        <v>75</v>
      </c>
      <c r="C36" s="21" t="n">
        <v>0.05</v>
      </c>
      <c r="D36" s="13" t="n">
        <v>0.002</v>
      </c>
      <c r="E36" s="19" t="str">
        <f aca="false">IF(OR(A36="",B36=""),"",A36&amp;"|"&amp;B36)</f>
        <v>Fe|Cr</v>
      </c>
      <c r="F36" s="22"/>
    </row>
    <row r="37" customFormat="false" ht="15" hidden="false" customHeight="false" outlineLevel="0" collapsed="false">
      <c r="A37" s="8" t="s">
        <v>66</v>
      </c>
      <c r="B37" s="8" t="s">
        <v>75</v>
      </c>
      <c r="C37" s="21" t="n">
        <v>0.1</v>
      </c>
      <c r="D37" s="13" t="n">
        <v>0.002</v>
      </c>
      <c r="E37" s="19" t="str">
        <f aca="false">IF(OR(A37="",B37=""),"",A37&amp;"|"&amp;B37)</f>
        <v>Fe|Cr</v>
      </c>
      <c r="F37" s="22"/>
    </row>
    <row r="38" customFormat="false" ht="15" hidden="false" customHeight="false" outlineLevel="0" collapsed="false">
      <c r="A38" s="8" t="s">
        <v>66</v>
      </c>
      <c r="B38" s="8" t="s">
        <v>75</v>
      </c>
      <c r="C38" s="21" t="n">
        <v>0.3</v>
      </c>
      <c r="D38" s="13" t="n">
        <v>0.003</v>
      </c>
      <c r="E38" s="19" t="str">
        <f aca="false">IF(OR(A38="",B38=""),"",A38&amp;"|"&amp;B38)</f>
        <v>Fe|Cr</v>
      </c>
      <c r="F38" s="22"/>
    </row>
    <row r="39" customFormat="false" ht="15" hidden="false" customHeight="false" outlineLevel="0" collapsed="false">
      <c r="A39" s="8" t="s">
        <v>66</v>
      </c>
      <c r="B39" s="8" t="s">
        <v>75</v>
      </c>
      <c r="C39" s="21" t="n">
        <v>0.5</v>
      </c>
      <c r="D39" s="13" t="n">
        <v>0.005</v>
      </c>
      <c r="E39" s="19" t="str">
        <f aca="false">IF(OR(A39="",B39=""),"",A39&amp;"|"&amp;B39)</f>
        <v>Fe|Cr</v>
      </c>
      <c r="F39" s="22"/>
    </row>
    <row r="40" customFormat="false" ht="15" hidden="false" customHeight="false" outlineLevel="0" collapsed="false">
      <c r="A40" s="8" t="s">
        <v>66</v>
      </c>
      <c r="B40" s="8" t="s">
        <v>75</v>
      </c>
      <c r="C40" s="21" t="n">
        <v>1</v>
      </c>
      <c r="D40" s="13" t="n">
        <v>0.007</v>
      </c>
      <c r="E40" s="19" t="str">
        <f aca="false">IF(OR(A40="",B40=""),"",A40&amp;"|"&amp;B40)</f>
        <v>Fe|Cr</v>
      </c>
      <c r="F40" s="22"/>
    </row>
    <row r="41" customFormat="false" ht="15" hidden="false" customHeight="false" outlineLevel="0" collapsed="false">
      <c r="A41" s="8" t="s">
        <v>66</v>
      </c>
      <c r="B41" s="8" t="s">
        <v>75</v>
      </c>
      <c r="C41" s="21" t="n">
        <v>2</v>
      </c>
      <c r="D41" s="13" t="n">
        <v>0.008</v>
      </c>
      <c r="E41" s="19" t="str">
        <f aca="false">IF(OR(A41="",B41=""),"",A41&amp;"|"&amp;B41)</f>
        <v>Fe|Cr</v>
      </c>
      <c r="F41" s="22"/>
    </row>
    <row r="42" customFormat="false" ht="15" hidden="false" customHeight="false" outlineLevel="0" collapsed="false">
      <c r="A42" s="8" t="s">
        <v>66</v>
      </c>
      <c r="B42" s="8" t="s">
        <v>75</v>
      </c>
      <c r="C42" s="21" t="n">
        <v>5</v>
      </c>
      <c r="D42" s="13" t="n">
        <v>0.028</v>
      </c>
      <c r="E42" s="19" t="str">
        <f aca="false">IF(OR(A42="",B42=""),"",A42&amp;"|"&amp;B42)</f>
        <v>Fe|Cr</v>
      </c>
      <c r="F42" s="22"/>
    </row>
    <row r="43" customFormat="false" ht="15" hidden="false" customHeight="false" outlineLevel="0" collapsed="false">
      <c r="A43" s="8" t="s">
        <v>66</v>
      </c>
      <c r="B43" s="8" t="s">
        <v>75</v>
      </c>
      <c r="C43" s="21" t="n">
        <v>10</v>
      </c>
      <c r="D43" s="13" t="n">
        <v>0.07</v>
      </c>
      <c r="E43" s="19" t="str">
        <f aca="false">IF(OR(A43="",B43=""),"",A43&amp;"|"&amp;B43)</f>
        <v>Fe|Cr</v>
      </c>
      <c r="F43" s="22"/>
    </row>
    <row r="44" customFormat="false" ht="15" hidden="false" customHeight="false" outlineLevel="0" collapsed="false">
      <c r="A44" s="8" t="s">
        <v>66</v>
      </c>
      <c r="B44" s="8" t="s">
        <v>75</v>
      </c>
      <c r="C44" s="21" t="n">
        <v>20</v>
      </c>
      <c r="D44" s="13" t="n">
        <v>0.09</v>
      </c>
      <c r="E44" s="19" t="str">
        <f aca="false">IF(OR(A44="",B44=""),"",A44&amp;"|"&amp;B44)</f>
        <v>Fe|Cr</v>
      </c>
      <c r="F44" s="22"/>
    </row>
    <row r="45" customFormat="false" ht="15" hidden="false" customHeight="false" outlineLevel="0" collapsed="false">
      <c r="A45" s="8" t="s">
        <v>66</v>
      </c>
      <c r="B45" s="8" t="s">
        <v>75</v>
      </c>
      <c r="C45" s="21" t="n">
        <v>30</v>
      </c>
      <c r="D45" s="13" t="n">
        <v>0.19</v>
      </c>
      <c r="E45" s="19" t="str">
        <f aca="false">IF(OR(A45="",B45=""),"",A45&amp;"|"&amp;B45)</f>
        <v>Fe|Cr</v>
      </c>
      <c r="F45" s="22"/>
    </row>
    <row r="46" customFormat="false" ht="15" hidden="false" customHeight="false" outlineLevel="0" collapsed="false">
      <c r="A46" s="8" t="s">
        <v>66</v>
      </c>
      <c r="B46" s="8" t="s">
        <v>76</v>
      </c>
      <c r="C46" s="21" t="n">
        <v>0.005</v>
      </c>
      <c r="D46" s="13" t="n">
        <v>0.0003</v>
      </c>
      <c r="E46" s="19" t="str">
        <f aca="false">IF(OR(A46="",B46=""),"",A46&amp;"|"&amp;B46)</f>
        <v>Fe|Cu</v>
      </c>
      <c r="F46" s="22"/>
    </row>
    <row r="47" customFormat="false" ht="15" hidden="false" customHeight="false" outlineLevel="0" collapsed="false">
      <c r="A47" s="8" t="s">
        <v>66</v>
      </c>
      <c r="B47" s="8" t="s">
        <v>76</v>
      </c>
      <c r="C47" s="21" t="n">
        <v>0.01</v>
      </c>
      <c r="D47" s="13" t="n">
        <v>0.001</v>
      </c>
      <c r="E47" s="19" t="str">
        <f aca="false">IF(OR(A47="",B47=""),"",A47&amp;"|"&amp;B47)</f>
        <v>Fe|Cu</v>
      </c>
      <c r="F47" s="22"/>
    </row>
    <row r="48" customFormat="false" ht="15" hidden="false" customHeight="false" outlineLevel="0" collapsed="false">
      <c r="A48" s="8" t="s">
        <v>66</v>
      </c>
      <c r="B48" s="8" t="s">
        <v>76</v>
      </c>
      <c r="C48" s="21" t="n">
        <v>0.05</v>
      </c>
      <c r="D48" s="13" t="n">
        <v>0.002</v>
      </c>
      <c r="E48" s="19" t="str">
        <f aca="false">IF(OR(A48="",B48=""),"",A48&amp;"|"&amp;B48)</f>
        <v>Fe|Cu</v>
      </c>
      <c r="F48" s="22"/>
    </row>
    <row r="49" customFormat="false" ht="15" hidden="false" customHeight="false" outlineLevel="0" collapsed="false">
      <c r="A49" s="8" t="s">
        <v>66</v>
      </c>
      <c r="B49" s="8" t="s">
        <v>76</v>
      </c>
      <c r="C49" s="21" t="n">
        <v>0.1</v>
      </c>
      <c r="D49" s="13" t="n">
        <v>0.002</v>
      </c>
      <c r="E49" s="19" t="str">
        <f aca="false">IF(OR(A49="",B49=""),"",A49&amp;"|"&amp;B49)</f>
        <v>Fe|Cu</v>
      </c>
      <c r="F49" s="22"/>
    </row>
    <row r="50" customFormat="false" ht="15" hidden="false" customHeight="false" outlineLevel="0" collapsed="false">
      <c r="A50" s="8" t="s">
        <v>66</v>
      </c>
      <c r="B50" s="8" t="s">
        <v>76</v>
      </c>
      <c r="C50" s="21" t="n">
        <v>0.3</v>
      </c>
      <c r="D50" s="13" t="n">
        <v>0.001</v>
      </c>
      <c r="E50" s="19" t="str">
        <f aca="false">IF(OR(A50="",B50=""),"",A50&amp;"|"&amp;B50)</f>
        <v>Fe|Cu</v>
      </c>
      <c r="F50" s="22" t="s">
        <v>89</v>
      </c>
    </row>
    <row r="51" customFormat="false" ht="15" hidden="false" customHeight="false" outlineLevel="0" collapsed="false">
      <c r="A51" s="8" t="s">
        <v>66</v>
      </c>
      <c r="B51" s="8" t="s">
        <v>76</v>
      </c>
      <c r="C51" s="21" t="n">
        <v>0.5</v>
      </c>
      <c r="D51" s="13" t="n">
        <v>0.004</v>
      </c>
      <c r="E51" s="19" t="str">
        <f aca="false">IF(OR(A51="",B51=""),"",A51&amp;"|"&amp;B51)</f>
        <v>Fe|Cu</v>
      </c>
      <c r="F51" s="22"/>
    </row>
    <row r="52" customFormat="false" ht="15" hidden="false" customHeight="false" outlineLevel="0" collapsed="false">
      <c r="A52" s="8" t="s">
        <v>66</v>
      </c>
      <c r="B52" s="8" t="s">
        <v>76</v>
      </c>
      <c r="C52" s="21" t="n">
        <v>1</v>
      </c>
      <c r="D52" s="13" t="n">
        <v>0.01</v>
      </c>
      <c r="E52" s="19" t="str">
        <f aca="false">IF(OR(A52="",B52=""),"",A52&amp;"|"&amp;B52)</f>
        <v>Fe|Cu</v>
      </c>
      <c r="F52" s="22"/>
    </row>
    <row r="53" customFormat="false" ht="15" hidden="false" customHeight="false" outlineLevel="0" collapsed="false">
      <c r="A53" s="8" t="s">
        <v>66</v>
      </c>
      <c r="B53" s="8" t="s">
        <v>76</v>
      </c>
      <c r="C53" s="21" t="n">
        <v>2</v>
      </c>
      <c r="D53" s="13" t="n">
        <v>0.012</v>
      </c>
      <c r="E53" s="19" t="str">
        <f aca="false">IF(OR(A53="",B53=""),"",A53&amp;"|"&amp;B53)</f>
        <v>Fe|Cu</v>
      </c>
      <c r="F53" s="22"/>
    </row>
    <row r="54" customFormat="false" ht="15" hidden="false" customHeight="false" outlineLevel="0" collapsed="false">
      <c r="A54" s="8" t="s">
        <v>66</v>
      </c>
      <c r="B54" s="8" t="s">
        <v>76</v>
      </c>
      <c r="C54" s="21" t="n">
        <v>5</v>
      </c>
      <c r="D54" s="13" t="n">
        <v>0.018</v>
      </c>
      <c r="E54" s="19" t="str">
        <f aca="false">IF(OR(A54="",B54=""),"",A54&amp;"|"&amp;B54)</f>
        <v>Fe|Cu</v>
      </c>
      <c r="F54" s="22"/>
    </row>
    <row r="55" customFormat="false" ht="15" hidden="false" customHeight="false" outlineLevel="0" collapsed="false">
      <c r="A55" s="8" t="s">
        <v>66</v>
      </c>
      <c r="B55" s="8" t="s">
        <v>77</v>
      </c>
      <c r="C55" s="21" t="n">
        <v>0.005</v>
      </c>
      <c r="D55" s="13" t="n">
        <v>0.001</v>
      </c>
      <c r="E55" s="19" t="str">
        <f aca="false">IF(OR(A55="",B55=""),"",A55&amp;"|"&amp;B55)</f>
        <v>Fe|Mg</v>
      </c>
      <c r="F55" s="22"/>
    </row>
    <row r="56" customFormat="false" ht="15" hidden="false" customHeight="false" outlineLevel="0" collapsed="false">
      <c r="A56" s="8" t="s">
        <v>66</v>
      </c>
      <c r="B56" s="8" t="s">
        <v>77</v>
      </c>
      <c r="C56" s="21" t="n">
        <v>0.01</v>
      </c>
      <c r="D56" s="13" t="n">
        <v>0.001</v>
      </c>
      <c r="E56" s="19" t="str">
        <f aca="false">IF(OR(A56="",B56=""),"",A56&amp;"|"&amp;B56)</f>
        <v>Fe|Mg</v>
      </c>
      <c r="F56" s="22"/>
    </row>
    <row r="57" customFormat="false" ht="15" hidden="false" customHeight="false" outlineLevel="0" collapsed="false">
      <c r="A57" s="8" t="s">
        <v>66</v>
      </c>
      <c r="B57" s="8" t="s">
        <v>77</v>
      </c>
      <c r="C57" s="21" t="n">
        <v>0.05</v>
      </c>
      <c r="D57" s="13" t="n">
        <v>0.005</v>
      </c>
      <c r="E57" s="19" t="str">
        <f aca="false">IF(OR(A57="",B57=""),"",A57&amp;"|"&amp;B57)</f>
        <v>Fe|Mg</v>
      </c>
      <c r="F57" s="22"/>
    </row>
    <row r="58" customFormat="false" ht="15" hidden="false" customHeight="false" outlineLevel="0" collapsed="false">
      <c r="A58" s="8" t="s">
        <v>66</v>
      </c>
      <c r="B58" s="8" t="s">
        <v>77</v>
      </c>
      <c r="C58" s="21" t="n">
        <v>0.1</v>
      </c>
      <c r="D58" s="13" t="n">
        <v>0.008</v>
      </c>
      <c r="E58" s="19" t="str">
        <f aca="false">IF(OR(A58="",B58=""),"",A58&amp;"|"&amp;B58)</f>
        <v>Fe|Mg</v>
      </c>
      <c r="F58" s="22"/>
    </row>
    <row r="59" customFormat="false" ht="15" hidden="false" customHeight="false" outlineLevel="0" collapsed="false">
      <c r="A59" s="8" t="s">
        <v>66</v>
      </c>
      <c r="B59" s="8" t="s">
        <v>68</v>
      </c>
      <c r="C59" s="21" t="n">
        <v>0.005</v>
      </c>
      <c r="D59" s="13" t="n">
        <v>0.001</v>
      </c>
      <c r="E59" s="19" t="str">
        <f aca="false">IF(OR(A59="",B59=""),"",A59&amp;"|"&amp;B59)</f>
        <v>Fe|Mn</v>
      </c>
      <c r="F59" s="22"/>
    </row>
    <row r="60" customFormat="false" ht="15" hidden="false" customHeight="false" outlineLevel="0" collapsed="false">
      <c r="A60" s="8" t="s">
        <v>66</v>
      </c>
      <c r="B60" s="8" t="s">
        <v>68</v>
      </c>
      <c r="C60" s="21" t="n">
        <v>0.01</v>
      </c>
      <c r="D60" s="13" t="n">
        <v>0.001</v>
      </c>
      <c r="E60" s="19" t="str">
        <f aca="false">IF(OR(A60="",B60=""),"",A60&amp;"|"&amp;B60)</f>
        <v>Fe|Mn</v>
      </c>
      <c r="F60" s="22"/>
    </row>
    <row r="61" customFormat="false" ht="15" hidden="false" customHeight="false" outlineLevel="0" collapsed="false">
      <c r="A61" s="8" t="s">
        <v>66</v>
      </c>
      <c r="B61" s="8" t="s">
        <v>68</v>
      </c>
      <c r="C61" s="21" t="n">
        <v>0.05</v>
      </c>
      <c r="D61" s="13" t="n">
        <v>0.001</v>
      </c>
      <c r="E61" s="19" t="str">
        <f aca="false">IF(OR(A61="",B61=""),"",A61&amp;"|"&amp;B61)</f>
        <v>Fe|Mn</v>
      </c>
      <c r="F61" s="22"/>
    </row>
    <row r="62" customFormat="false" ht="15" hidden="false" customHeight="false" outlineLevel="0" collapsed="false">
      <c r="A62" s="8" t="s">
        <v>66</v>
      </c>
      <c r="B62" s="8" t="s">
        <v>68</v>
      </c>
      <c r="C62" s="21" t="n">
        <v>0.1</v>
      </c>
      <c r="D62" s="13" t="n">
        <v>0.001</v>
      </c>
      <c r="E62" s="19" t="str">
        <f aca="false">IF(OR(A62="",B62=""),"",A62&amp;"|"&amp;B62)</f>
        <v>Fe|Mn</v>
      </c>
      <c r="F62" s="22"/>
    </row>
    <row r="63" customFormat="false" ht="15" hidden="false" customHeight="false" outlineLevel="0" collapsed="false">
      <c r="A63" s="8" t="s">
        <v>66</v>
      </c>
      <c r="B63" s="8" t="s">
        <v>68</v>
      </c>
      <c r="C63" s="21" t="n">
        <v>0.3</v>
      </c>
      <c r="D63" s="13" t="n">
        <v>0.002</v>
      </c>
      <c r="E63" s="19" t="str">
        <f aca="false">IF(OR(A63="",B63=""),"",A63&amp;"|"&amp;B63)</f>
        <v>Fe|Mn</v>
      </c>
      <c r="F63" s="22"/>
    </row>
    <row r="64" customFormat="false" ht="15" hidden="false" customHeight="false" outlineLevel="0" collapsed="false">
      <c r="A64" s="8" t="s">
        <v>66</v>
      </c>
      <c r="B64" s="8" t="s">
        <v>68</v>
      </c>
      <c r="C64" s="21" t="n">
        <v>0.5</v>
      </c>
      <c r="D64" s="13" t="n">
        <v>0.006</v>
      </c>
      <c r="E64" s="19" t="str">
        <f aca="false">IF(OR(A64="",B64=""),"",A64&amp;"|"&amp;B64)</f>
        <v>Fe|Mn</v>
      </c>
      <c r="F64" s="22"/>
    </row>
    <row r="65" customFormat="false" ht="15" hidden="false" customHeight="false" outlineLevel="0" collapsed="false">
      <c r="A65" s="8" t="s">
        <v>66</v>
      </c>
      <c r="B65" s="8" t="s">
        <v>68</v>
      </c>
      <c r="C65" s="21" t="n">
        <v>1</v>
      </c>
      <c r="D65" s="13" t="n">
        <v>0.012</v>
      </c>
      <c r="E65" s="19" t="str">
        <f aca="false">IF(OR(A65="",B65=""),"",A65&amp;"|"&amp;B65)</f>
        <v>Fe|Mn</v>
      </c>
      <c r="F65" s="22"/>
    </row>
    <row r="66" customFormat="false" ht="15" hidden="false" customHeight="false" outlineLevel="0" collapsed="false">
      <c r="A66" s="8" t="s">
        <v>66</v>
      </c>
      <c r="B66" s="8" t="s">
        <v>68</v>
      </c>
      <c r="C66" s="21" t="n">
        <v>2</v>
      </c>
      <c r="D66" s="13" t="n">
        <v>0.02</v>
      </c>
      <c r="E66" s="19" t="str">
        <f aca="false">IF(OR(A66="",B66=""),"",A66&amp;"|"&amp;B66)</f>
        <v>Fe|Mn</v>
      </c>
      <c r="F66" s="22"/>
    </row>
    <row r="67" customFormat="false" ht="15" hidden="false" customHeight="false" outlineLevel="0" collapsed="false">
      <c r="A67" s="8" t="s">
        <v>66</v>
      </c>
      <c r="B67" s="8" t="s">
        <v>68</v>
      </c>
      <c r="C67" s="21" t="n">
        <v>10</v>
      </c>
      <c r="D67" s="13" t="n">
        <v>0.04</v>
      </c>
      <c r="E67" s="19" t="str">
        <f aca="false">IF(OR(A67="",B67=""),"",A67&amp;"|"&amp;B67)</f>
        <v>Fe|Mn</v>
      </c>
      <c r="F67" s="22"/>
    </row>
    <row r="68" customFormat="false" ht="15" hidden="false" customHeight="false" outlineLevel="0" collapsed="false">
      <c r="A68" s="8" t="s">
        <v>66</v>
      </c>
      <c r="B68" s="8" t="s">
        <v>68</v>
      </c>
      <c r="C68" s="21" t="n">
        <v>20</v>
      </c>
      <c r="D68" s="13" t="n">
        <v>0.15</v>
      </c>
      <c r="E68" s="19" t="str">
        <f aca="false">IF(OR(A68="",B68=""),"",A68&amp;"|"&amp;B68)</f>
        <v>Fe|Mn</v>
      </c>
      <c r="F68" s="22"/>
    </row>
    <row r="69" customFormat="false" ht="15" hidden="false" customHeight="false" outlineLevel="0" collapsed="false">
      <c r="A69" s="8" t="s">
        <v>66</v>
      </c>
      <c r="B69" s="8" t="s">
        <v>78</v>
      </c>
      <c r="C69" s="21" t="n">
        <v>0.005</v>
      </c>
      <c r="D69" s="13" t="n">
        <v>0.001</v>
      </c>
      <c r="E69" s="19" t="str">
        <f aca="false">IF(OR(A69="",B69=""),"",A69&amp;"|"&amp;B69)</f>
        <v>Fe|Mo</v>
      </c>
      <c r="F69" s="22"/>
    </row>
    <row r="70" customFormat="false" ht="15" hidden="false" customHeight="false" outlineLevel="0" collapsed="false">
      <c r="A70" s="8" t="s">
        <v>66</v>
      </c>
      <c r="B70" s="8" t="s">
        <v>78</v>
      </c>
      <c r="C70" s="21" t="n">
        <v>0.01</v>
      </c>
      <c r="D70" s="13" t="n">
        <v>0.001</v>
      </c>
      <c r="E70" s="19" t="str">
        <f aca="false">IF(OR(A70="",B70=""),"",A70&amp;"|"&amp;B70)</f>
        <v>Fe|Mo</v>
      </c>
      <c r="F70" s="22"/>
    </row>
    <row r="71" customFormat="false" ht="15" hidden="false" customHeight="false" outlineLevel="0" collapsed="false">
      <c r="A71" s="8" t="s">
        <v>66</v>
      </c>
      <c r="B71" s="8" t="s">
        <v>78</v>
      </c>
      <c r="C71" s="21" t="n">
        <v>0.05</v>
      </c>
      <c r="D71" s="13" t="n">
        <v>0.001</v>
      </c>
      <c r="E71" s="19" t="str">
        <f aca="false">IF(OR(A71="",B71=""),"",A71&amp;"|"&amp;B71)</f>
        <v>Fe|Mo</v>
      </c>
      <c r="F71" s="22"/>
    </row>
    <row r="72" customFormat="false" ht="15" hidden="false" customHeight="false" outlineLevel="0" collapsed="false">
      <c r="A72" s="8" t="s">
        <v>66</v>
      </c>
      <c r="B72" s="8" t="s">
        <v>78</v>
      </c>
      <c r="C72" s="21" t="n">
        <v>0.1</v>
      </c>
      <c r="D72" s="13" t="n">
        <v>0.002</v>
      </c>
      <c r="E72" s="19" t="str">
        <f aca="false">IF(OR(A72="",B72=""),"",A72&amp;"|"&amp;B72)</f>
        <v>Fe|Mo</v>
      </c>
      <c r="F72" s="22"/>
    </row>
    <row r="73" customFormat="false" ht="15" hidden="false" customHeight="false" outlineLevel="0" collapsed="false">
      <c r="A73" s="8" t="s">
        <v>66</v>
      </c>
      <c r="B73" s="8" t="s">
        <v>78</v>
      </c>
      <c r="C73" s="21" t="n">
        <v>0.3</v>
      </c>
      <c r="D73" s="13" t="n">
        <v>0.002</v>
      </c>
      <c r="E73" s="19" t="str">
        <f aca="false">IF(OR(A73="",B73=""),"",A73&amp;"|"&amp;B73)</f>
        <v>Fe|Mo</v>
      </c>
      <c r="F73" s="22"/>
    </row>
    <row r="74" customFormat="false" ht="15" hidden="false" customHeight="false" outlineLevel="0" collapsed="false">
      <c r="A74" s="8" t="s">
        <v>66</v>
      </c>
      <c r="B74" s="8" t="s">
        <v>78</v>
      </c>
      <c r="C74" s="21" t="n">
        <v>0.5</v>
      </c>
      <c r="D74" s="13" t="n">
        <v>0.005</v>
      </c>
      <c r="E74" s="19" t="str">
        <f aca="false">IF(OR(A74="",B74=""),"",A74&amp;"|"&amp;B74)</f>
        <v>Fe|Mo</v>
      </c>
      <c r="F74" s="22"/>
    </row>
    <row r="75" customFormat="false" ht="15" hidden="false" customHeight="false" outlineLevel="0" collapsed="false">
      <c r="A75" s="8" t="s">
        <v>66</v>
      </c>
      <c r="B75" s="8" t="s">
        <v>78</v>
      </c>
      <c r="C75" s="21" t="n">
        <v>1</v>
      </c>
      <c r="D75" s="13" t="n">
        <v>0.013</v>
      </c>
      <c r="E75" s="19" t="str">
        <f aca="false">IF(OR(A75="",B75=""),"",A75&amp;"|"&amp;B75)</f>
        <v>Fe|Mo</v>
      </c>
      <c r="F75" s="22"/>
    </row>
    <row r="76" customFormat="false" ht="15" hidden="false" customHeight="false" outlineLevel="0" collapsed="false">
      <c r="A76" s="8" t="s">
        <v>66</v>
      </c>
      <c r="B76" s="8" t="s">
        <v>78</v>
      </c>
      <c r="C76" s="21" t="n">
        <v>2</v>
      </c>
      <c r="D76" s="13" t="n">
        <v>0.016</v>
      </c>
      <c r="E76" s="19" t="str">
        <f aca="false">IF(OR(A76="",B76=""),"",A76&amp;"|"&amp;B76)</f>
        <v>Fe|Mo</v>
      </c>
      <c r="F76" s="22"/>
    </row>
    <row r="77" customFormat="false" ht="15" hidden="false" customHeight="false" outlineLevel="0" collapsed="false">
      <c r="A77" s="8" t="s">
        <v>66</v>
      </c>
      <c r="B77" s="8" t="s">
        <v>78</v>
      </c>
      <c r="C77" s="21" t="n">
        <v>5</v>
      </c>
      <c r="D77" s="13" t="n">
        <v>0.045</v>
      </c>
      <c r="E77" s="19" t="str">
        <f aca="false">IF(OR(A77="",B77=""),"",A77&amp;"|"&amp;B77)</f>
        <v>Fe|Mo</v>
      </c>
      <c r="F77" s="22"/>
    </row>
    <row r="78" customFormat="false" ht="15" hidden="false" customHeight="false" outlineLevel="0" collapsed="false">
      <c r="A78" s="8" t="s">
        <v>66</v>
      </c>
      <c r="B78" s="8" t="s">
        <v>78</v>
      </c>
      <c r="C78" s="21" t="n">
        <v>10</v>
      </c>
      <c r="D78" s="13" t="n">
        <v>0.07</v>
      </c>
      <c r="E78" s="19" t="str">
        <f aca="false">IF(OR(A78="",B78=""),"",A78&amp;"|"&amp;B78)</f>
        <v>Fe|Mo</v>
      </c>
      <c r="F78" s="22"/>
    </row>
    <row r="79" customFormat="false" ht="15" hidden="false" customHeight="false" outlineLevel="0" collapsed="false">
      <c r="A79" s="8" t="s">
        <v>66</v>
      </c>
      <c r="B79" s="8" t="s">
        <v>79</v>
      </c>
      <c r="C79" s="21" t="n">
        <v>0.01</v>
      </c>
      <c r="D79" s="13" t="n">
        <v>0.002</v>
      </c>
      <c r="E79" s="19" t="str">
        <f aca="false">IF(OR(A79="",B79=""),"",A79&amp;"|"&amp;B79)</f>
        <v>Fe|Nb</v>
      </c>
      <c r="F79" s="22"/>
    </row>
    <row r="80" customFormat="false" ht="15" hidden="false" customHeight="false" outlineLevel="0" collapsed="false">
      <c r="A80" s="8" t="s">
        <v>66</v>
      </c>
      <c r="B80" s="8" t="s">
        <v>79</v>
      </c>
      <c r="C80" s="21" t="n">
        <v>0.05</v>
      </c>
      <c r="D80" s="13" t="n">
        <v>0.002</v>
      </c>
      <c r="E80" s="19" t="str">
        <f aca="false">IF(OR(A80="",B80=""),"",A80&amp;"|"&amp;B80)</f>
        <v>Fe|Nb</v>
      </c>
      <c r="F80" s="22"/>
    </row>
    <row r="81" customFormat="false" ht="15" hidden="false" customHeight="false" outlineLevel="0" collapsed="false">
      <c r="A81" s="8" t="s">
        <v>66</v>
      </c>
      <c r="B81" s="8" t="s">
        <v>79</v>
      </c>
      <c r="C81" s="21" t="n">
        <v>0.1</v>
      </c>
      <c r="D81" s="13" t="n">
        <v>0.002</v>
      </c>
      <c r="E81" s="19" t="str">
        <f aca="false">IF(OR(A81="",B81=""),"",A81&amp;"|"&amp;B81)</f>
        <v>Fe|Nb</v>
      </c>
      <c r="F81" s="22"/>
    </row>
    <row r="82" customFormat="false" ht="15" hidden="false" customHeight="false" outlineLevel="0" collapsed="false">
      <c r="A82" s="8" t="s">
        <v>66</v>
      </c>
      <c r="B82" s="8" t="s">
        <v>79</v>
      </c>
      <c r="C82" s="21" t="n">
        <v>0.3</v>
      </c>
      <c r="D82" s="13" t="n">
        <v>0.004</v>
      </c>
      <c r="E82" s="19" t="str">
        <f aca="false">IF(OR(A82="",B82=""),"",A82&amp;"|"&amp;B82)</f>
        <v>Fe|Nb</v>
      </c>
      <c r="F82" s="22"/>
    </row>
    <row r="83" customFormat="false" ht="15" hidden="false" customHeight="false" outlineLevel="0" collapsed="false">
      <c r="A83" s="8" t="s">
        <v>66</v>
      </c>
      <c r="B83" s="8" t="s">
        <v>79</v>
      </c>
      <c r="C83" s="21" t="n">
        <v>0.5</v>
      </c>
      <c r="D83" s="13" t="n">
        <v>0.006</v>
      </c>
      <c r="E83" s="19" t="str">
        <f aca="false">IF(OR(A83="",B83=""),"",A83&amp;"|"&amp;B83)</f>
        <v>Fe|Nb</v>
      </c>
      <c r="F83" s="22"/>
    </row>
    <row r="84" customFormat="false" ht="15" hidden="false" customHeight="false" outlineLevel="0" collapsed="false">
      <c r="A84" s="8" t="s">
        <v>66</v>
      </c>
      <c r="B84" s="8" t="s">
        <v>79</v>
      </c>
      <c r="C84" s="21" t="n">
        <v>1</v>
      </c>
      <c r="D84" s="13" t="n">
        <v>0.01</v>
      </c>
      <c r="E84" s="19" t="str">
        <f aca="false">IF(OR(A84="",B84=""),"",A84&amp;"|"&amp;B84)</f>
        <v>Fe|Nb</v>
      </c>
      <c r="F84" s="22"/>
    </row>
    <row r="85" customFormat="false" ht="15" hidden="false" customHeight="false" outlineLevel="0" collapsed="false">
      <c r="A85" s="8" t="s">
        <v>66</v>
      </c>
      <c r="B85" s="8" t="s">
        <v>79</v>
      </c>
      <c r="C85" s="21" t="n">
        <v>2</v>
      </c>
      <c r="D85" s="13" t="n">
        <v>0.02</v>
      </c>
      <c r="E85" s="19" t="str">
        <f aca="false">IF(OR(A85="",B85=""),"",A85&amp;"|"&amp;B85)</f>
        <v>Fe|Nb</v>
      </c>
      <c r="F85" s="22"/>
    </row>
    <row r="86" customFormat="false" ht="15" hidden="false" customHeight="false" outlineLevel="0" collapsed="false">
      <c r="A86" s="8" t="s">
        <v>66</v>
      </c>
      <c r="B86" s="8" t="s">
        <v>80</v>
      </c>
      <c r="C86" s="21" t="n">
        <v>0.01</v>
      </c>
      <c r="D86" s="13" t="n">
        <v>0.001</v>
      </c>
      <c r="E86" s="19" t="str">
        <f aca="false">IF(OR(A86="",B86=""),"",A86&amp;"|"&amp;B86)</f>
        <v>Fe|Ni</v>
      </c>
      <c r="F86" s="22"/>
    </row>
    <row r="87" customFormat="false" ht="15" hidden="false" customHeight="false" outlineLevel="0" collapsed="false">
      <c r="A87" s="8" t="s">
        <v>66</v>
      </c>
      <c r="B87" s="8" t="s">
        <v>80</v>
      </c>
      <c r="C87" s="21" t="n">
        <v>0.05</v>
      </c>
      <c r="D87" s="13" t="n">
        <v>0.001</v>
      </c>
      <c r="E87" s="19" t="str">
        <f aca="false">IF(OR(A87="",B87=""),"",A87&amp;"|"&amp;B87)</f>
        <v>Fe|Ni</v>
      </c>
      <c r="F87" s="22"/>
    </row>
    <row r="88" customFormat="false" ht="15" hidden="false" customHeight="false" outlineLevel="0" collapsed="false">
      <c r="A88" s="8" t="s">
        <v>66</v>
      </c>
      <c r="B88" s="8" t="s">
        <v>80</v>
      </c>
      <c r="C88" s="21" t="n">
        <v>0.1</v>
      </c>
      <c r="D88" s="13" t="n">
        <v>0.001</v>
      </c>
      <c r="E88" s="19" t="str">
        <f aca="false">IF(OR(A88="",B88=""),"",A88&amp;"|"&amp;B88)</f>
        <v>Fe|Ni</v>
      </c>
      <c r="F88" s="22"/>
    </row>
    <row r="89" customFormat="false" ht="15" hidden="false" customHeight="false" outlineLevel="0" collapsed="false">
      <c r="A89" s="8" t="s">
        <v>66</v>
      </c>
      <c r="B89" s="8" t="s">
        <v>80</v>
      </c>
      <c r="C89" s="21" t="n">
        <v>0.5</v>
      </c>
      <c r="D89" s="13" t="n">
        <v>0.004</v>
      </c>
      <c r="E89" s="19" t="str">
        <f aca="false">IF(OR(A89="",B89=""),"",A89&amp;"|"&amp;B89)</f>
        <v>Fe|Ni</v>
      </c>
      <c r="F89" s="22"/>
    </row>
    <row r="90" customFormat="false" ht="15" hidden="false" customHeight="false" outlineLevel="0" collapsed="false">
      <c r="A90" s="8" t="s">
        <v>66</v>
      </c>
      <c r="B90" s="8" t="s">
        <v>80</v>
      </c>
      <c r="C90" s="21" t="n">
        <v>1</v>
      </c>
      <c r="D90" s="13" t="n">
        <v>0.004</v>
      </c>
      <c r="E90" s="19" t="str">
        <f aca="false">IF(OR(A90="",B90=""),"",A90&amp;"|"&amp;B90)</f>
        <v>Fe|Ni</v>
      </c>
      <c r="F90" s="22"/>
    </row>
    <row r="91" customFormat="false" ht="15" hidden="false" customHeight="false" outlineLevel="0" collapsed="false">
      <c r="A91" s="8" t="s">
        <v>66</v>
      </c>
      <c r="B91" s="8" t="s">
        <v>80</v>
      </c>
      <c r="C91" s="21" t="n">
        <v>2</v>
      </c>
      <c r="D91" s="13" t="n">
        <v>0.025</v>
      </c>
      <c r="E91" s="19" t="str">
        <f aca="false">IF(OR(A91="",B91=""),"",A91&amp;"|"&amp;B91)</f>
        <v>Fe|Ni</v>
      </c>
      <c r="F91" s="22"/>
    </row>
    <row r="92" customFormat="false" ht="15" hidden="false" customHeight="false" outlineLevel="0" collapsed="false">
      <c r="A92" s="8" t="s">
        <v>66</v>
      </c>
      <c r="B92" s="8" t="s">
        <v>80</v>
      </c>
      <c r="C92" s="21" t="n">
        <v>5</v>
      </c>
      <c r="D92" s="13" t="n">
        <v>0.032</v>
      </c>
      <c r="E92" s="19" t="str">
        <f aca="false">IF(OR(A92="",B92=""),"",A92&amp;"|"&amp;B92)</f>
        <v>Fe|Ni</v>
      </c>
      <c r="F92" s="22"/>
    </row>
    <row r="93" customFormat="false" ht="15" hidden="false" customHeight="false" outlineLevel="0" collapsed="false">
      <c r="A93" s="8" t="s">
        <v>66</v>
      </c>
      <c r="B93" s="8" t="s">
        <v>80</v>
      </c>
      <c r="C93" s="21" t="n">
        <v>10</v>
      </c>
      <c r="D93" s="13" t="n">
        <v>0.05</v>
      </c>
      <c r="E93" s="19" t="str">
        <f aca="false">IF(OR(A93="",B93=""),"",A93&amp;"|"&amp;B93)</f>
        <v>Fe|Ni</v>
      </c>
      <c r="F93" s="22"/>
    </row>
    <row r="94" customFormat="false" ht="15" hidden="false" customHeight="false" outlineLevel="0" collapsed="false">
      <c r="A94" s="8" t="s">
        <v>66</v>
      </c>
      <c r="B94" s="8" t="s">
        <v>80</v>
      </c>
      <c r="C94" s="21" t="n">
        <v>20</v>
      </c>
      <c r="D94" s="13" t="n">
        <v>0.17</v>
      </c>
      <c r="E94" s="19" t="str">
        <f aca="false">IF(OR(A94="",B94=""),"",A94&amp;"|"&amp;B94)</f>
        <v>Fe|Ni</v>
      </c>
      <c r="F94" s="22"/>
    </row>
    <row r="95" customFormat="false" ht="15" hidden="false" customHeight="false" outlineLevel="0" collapsed="false">
      <c r="A95" s="8" t="s">
        <v>66</v>
      </c>
      <c r="B95" s="8" t="s">
        <v>80</v>
      </c>
      <c r="C95" s="21" t="n">
        <v>30</v>
      </c>
      <c r="D95" s="13" t="n">
        <v>0.22</v>
      </c>
      <c r="E95" s="19" t="str">
        <f aca="false">IF(OR(A95="",B95=""),"",A95&amp;"|"&amp;B95)</f>
        <v>Fe|Ni</v>
      </c>
      <c r="F95" s="22"/>
    </row>
    <row r="96" customFormat="false" ht="15" hidden="false" customHeight="false" outlineLevel="0" collapsed="false">
      <c r="A96" s="8" t="s">
        <v>66</v>
      </c>
      <c r="B96" s="8" t="s">
        <v>80</v>
      </c>
      <c r="C96" s="21" t="n">
        <v>40</v>
      </c>
      <c r="D96" s="13" t="n">
        <v>0.4</v>
      </c>
      <c r="E96" s="19" t="str">
        <f aca="false">IF(OR(A96="",B96=""),"",A96&amp;"|"&amp;B96)</f>
        <v>Fe|Ni</v>
      </c>
      <c r="F96" s="22"/>
    </row>
    <row r="97" customFormat="false" ht="15" hidden="false" customHeight="false" outlineLevel="0" collapsed="false">
      <c r="A97" s="8" t="s">
        <v>66</v>
      </c>
      <c r="B97" s="8" t="s">
        <v>81</v>
      </c>
      <c r="C97" s="21" t="n">
        <v>0.005</v>
      </c>
      <c r="D97" s="13" t="n">
        <v>0.002</v>
      </c>
      <c r="E97" s="19" t="str">
        <f aca="false">IF(OR(A97="",B97=""),"",A97&amp;"|"&amp;B97)</f>
        <v>Fe|P</v>
      </c>
      <c r="F97" s="22"/>
    </row>
    <row r="98" customFormat="false" ht="15" hidden="false" customHeight="false" outlineLevel="0" collapsed="false">
      <c r="A98" s="8" t="s">
        <v>66</v>
      </c>
      <c r="B98" s="8" t="s">
        <v>81</v>
      </c>
      <c r="C98" s="21" t="n">
        <v>0.01</v>
      </c>
      <c r="D98" s="13" t="n">
        <v>0.002</v>
      </c>
      <c r="E98" s="19" t="str">
        <f aca="false">IF(OR(A98="",B98=""),"",A98&amp;"|"&amp;B98)</f>
        <v>Fe|P</v>
      </c>
      <c r="F98" s="22"/>
    </row>
    <row r="99" customFormat="false" ht="15" hidden="false" customHeight="false" outlineLevel="0" collapsed="false">
      <c r="A99" s="8" t="s">
        <v>66</v>
      </c>
      <c r="B99" s="8" t="s">
        <v>81</v>
      </c>
      <c r="C99" s="21" t="n">
        <v>0.05</v>
      </c>
      <c r="D99" s="13" t="n">
        <v>0.002</v>
      </c>
      <c r="E99" s="19" t="str">
        <f aca="false">IF(OR(A99="",B99=""),"",A99&amp;"|"&amp;B99)</f>
        <v>Fe|P</v>
      </c>
      <c r="F99" s="22"/>
    </row>
    <row r="100" customFormat="false" ht="15" hidden="false" customHeight="false" outlineLevel="0" collapsed="false">
      <c r="A100" s="8" t="s">
        <v>66</v>
      </c>
      <c r="B100" s="8" t="s">
        <v>81</v>
      </c>
      <c r="C100" s="21" t="n">
        <v>0.1</v>
      </c>
      <c r="D100" s="13" t="n">
        <v>0.005</v>
      </c>
      <c r="E100" s="19" t="str">
        <f aca="false">IF(OR(A100="",B100=""),"",A100&amp;"|"&amp;B100)</f>
        <v>Fe|P</v>
      </c>
      <c r="F100" s="22"/>
    </row>
    <row r="101" customFormat="false" ht="15" hidden="false" customHeight="false" outlineLevel="0" collapsed="false">
      <c r="A101" s="8" t="s">
        <v>66</v>
      </c>
      <c r="B101" s="8" t="s">
        <v>82</v>
      </c>
      <c r="C101" s="21" t="n">
        <v>0.01</v>
      </c>
      <c r="D101" s="13" t="n">
        <v>0.002</v>
      </c>
      <c r="E101" s="19" t="str">
        <f aca="false">IF(OR(A101="",B101=""),"",A101&amp;"|"&amp;B101)</f>
        <v>Fe|Pb</v>
      </c>
      <c r="F101" s="22"/>
    </row>
    <row r="102" customFormat="false" ht="15" hidden="false" customHeight="false" outlineLevel="0" collapsed="false">
      <c r="A102" s="8" t="s">
        <v>66</v>
      </c>
      <c r="B102" s="8" t="s">
        <v>83</v>
      </c>
      <c r="C102" s="21" t="n">
        <v>0.005</v>
      </c>
      <c r="D102" s="13" t="n">
        <v>0.001</v>
      </c>
      <c r="E102" s="19" t="str">
        <f aca="false">IF(OR(A102="",B102=""),"",A102&amp;"|"&amp;B102)</f>
        <v>Fe|S</v>
      </c>
      <c r="F102" s="22"/>
    </row>
    <row r="103" customFormat="false" ht="15" hidden="false" customHeight="false" outlineLevel="0" collapsed="false">
      <c r="A103" s="8" t="s">
        <v>66</v>
      </c>
      <c r="B103" s="8" t="s">
        <v>83</v>
      </c>
      <c r="C103" s="21" t="n">
        <v>0.01</v>
      </c>
      <c r="D103" s="13" t="n">
        <v>0.001</v>
      </c>
      <c r="E103" s="19" t="str">
        <f aca="false">IF(OR(A103="",B103=""),"",A103&amp;"|"&amp;B103)</f>
        <v>Fe|S</v>
      </c>
      <c r="F103" s="22"/>
    </row>
    <row r="104" customFormat="false" ht="15" hidden="false" customHeight="false" outlineLevel="0" collapsed="false">
      <c r="A104" s="8" t="s">
        <v>66</v>
      </c>
      <c r="B104" s="8" t="s">
        <v>83</v>
      </c>
      <c r="C104" s="21" t="n">
        <v>0.05</v>
      </c>
      <c r="D104" s="13" t="n">
        <v>0.003</v>
      </c>
      <c r="E104" s="19" t="str">
        <f aca="false">IF(OR(A104="",B104=""),"",A104&amp;"|"&amp;B104)</f>
        <v>Fe|S</v>
      </c>
      <c r="F104" s="22"/>
    </row>
    <row r="105" customFormat="false" ht="15" hidden="false" customHeight="false" outlineLevel="0" collapsed="false">
      <c r="A105" s="8" t="s">
        <v>66</v>
      </c>
      <c r="B105" s="8" t="s">
        <v>83</v>
      </c>
      <c r="C105" s="21" t="n">
        <v>0.1</v>
      </c>
      <c r="D105" s="13" t="n">
        <v>0.01</v>
      </c>
      <c r="E105" s="19" t="str">
        <f aca="false">IF(OR(A105="",B105=""),"",A105&amp;"|"&amp;B105)</f>
        <v>Fe|S</v>
      </c>
      <c r="F105" s="22"/>
    </row>
    <row r="106" customFormat="false" ht="15" hidden="false" customHeight="false" outlineLevel="0" collapsed="false">
      <c r="A106" s="8" t="s">
        <v>66</v>
      </c>
      <c r="B106" s="8" t="s">
        <v>83</v>
      </c>
      <c r="C106" s="21" t="n">
        <v>0.3</v>
      </c>
      <c r="D106" s="13" t="n">
        <v>0.03</v>
      </c>
      <c r="E106" s="19" t="str">
        <f aca="false">IF(OR(A106="",B106=""),"",A106&amp;"|"&amp;B106)</f>
        <v>Fe|S</v>
      </c>
      <c r="F106" s="22"/>
    </row>
    <row r="107" customFormat="false" ht="15" hidden="false" customHeight="false" outlineLevel="0" collapsed="false">
      <c r="A107" s="8" t="s">
        <v>66</v>
      </c>
      <c r="B107" s="8" t="s">
        <v>84</v>
      </c>
      <c r="C107" s="21" t="n">
        <v>0.01</v>
      </c>
      <c r="D107" s="13" t="n">
        <v>0.001</v>
      </c>
      <c r="E107" s="19" t="str">
        <f aca="false">IF(OR(A107="",B107=""),"",A107&amp;"|"&amp;B107)</f>
        <v>Fe|Si</v>
      </c>
      <c r="F107" s="22"/>
    </row>
    <row r="108" customFormat="false" ht="15" hidden="false" customHeight="false" outlineLevel="0" collapsed="false">
      <c r="A108" s="8" t="s">
        <v>66</v>
      </c>
      <c r="B108" s="8" t="s">
        <v>84</v>
      </c>
      <c r="C108" s="21" t="n">
        <v>0.05</v>
      </c>
      <c r="D108" s="13" t="n">
        <v>0.001</v>
      </c>
      <c r="E108" s="19" t="str">
        <f aca="false">IF(OR(A108="",B108=""),"",A108&amp;"|"&amp;B108)</f>
        <v>Fe|Si</v>
      </c>
      <c r="F108" s="22"/>
    </row>
    <row r="109" customFormat="false" ht="15" hidden="false" customHeight="false" outlineLevel="0" collapsed="false">
      <c r="A109" s="8" t="s">
        <v>66</v>
      </c>
      <c r="B109" s="8" t="s">
        <v>84</v>
      </c>
      <c r="C109" s="21" t="n">
        <v>0.1</v>
      </c>
      <c r="D109" s="13" t="n">
        <v>0.002</v>
      </c>
      <c r="E109" s="19" t="str">
        <f aca="false">IF(OR(A109="",B109=""),"",A109&amp;"|"&amp;B109)</f>
        <v>Fe|Si</v>
      </c>
      <c r="F109" s="22"/>
    </row>
    <row r="110" customFormat="false" ht="15" hidden="false" customHeight="false" outlineLevel="0" collapsed="false">
      <c r="A110" s="8" t="s">
        <v>66</v>
      </c>
      <c r="B110" s="8" t="s">
        <v>84</v>
      </c>
      <c r="C110" s="21" t="n">
        <v>0.3</v>
      </c>
      <c r="D110" s="13" t="n">
        <v>0.004</v>
      </c>
      <c r="E110" s="19" t="str">
        <f aca="false">IF(OR(A110="",B110=""),"",A110&amp;"|"&amp;B110)</f>
        <v>Fe|Si</v>
      </c>
      <c r="F110" s="22"/>
    </row>
    <row r="111" customFormat="false" ht="15" hidden="false" customHeight="false" outlineLevel="0" collapsed="false">
      <c r="A111" s="8" t="s">
        <v>66</v>
      </c>
      <c r="B111" s="8" t="s">
        <v>84</v>
      </c>
      <c r="C111" s="21" t="n">
        <v>0.5</v>
      </c>
      <c r="D111" s="13" t="n">
        <v>0.007</v>
      </c>
      <c r="E111" s="19" t="str">
        <f aca="false">IF(OR(A111="",B111=""),"",A111&amp;"|"&amp;B111)</f>
        <v>Fe|Si</v>
      </c>
      <c r="F111" s="22"/>
    </row>
    <row r="112" customFormat="false" ht="15" hidden="false" customHeight="false" outlineLevel="0" collapsed="false">
      <c r="A112" s="8" t="s">
        <v>66</v>
      </c>
      <c r="B112" s="8" t="s">
        <v>84</v>
      </c>
      <c r="C112" s="21" t="n">
        <v>1</v>
      </c>
      <c r="D112" s="13" t="n">
        <v>0.012</v>
      </c>
      <c r="E112" s="19" t="str">
        <f aca="false">IF(OR(A112="",B112=""),"",A112&amp;"|"&amp;B112)</f>
        <v>Fe|Si</v>
      </c>
      <c r="F112" s="22"/>
    </row>
    <row r="113" customFormat="false" ht="15" hidden="false" customHeight="false" outlineLevel="0" collapsed="false">
      <c r="A113" s="8" t="s">
        <v>66</v>
      </c>
      <c r="B113" s="8" t="s">
        <v>84</v>
      </c>
      <c r="C113" s="21" t="n">
        <v>2</v>
      </c>
      <c r="D113" s="13" t="n">
        <v>0.015</v>
      </c>
      <c r="E113" s="19" t="str">
        <f aca="false">IF(OR(A113="",B113=""),"",A113&amp;"|"&amp;B113)</f>
        <v>Fe|Si</v>
      </c>
      <c r="F113" s="22"/>
    </row>
    <row r="114" customFormat="false" ht="15" hidden="false" customHeight="false" outlineLevel="0" collapsed="false">
      <c r="A114" s="8" t="s">
        <v>66</v>
      </c>
      <c r="B114" s="8" t="s">
        <v>84</v>
      </c>
      <c r="C114" s="21" t="n">
        <v>5</v>
      </c>
      <c r="D114" s="13" t="n">
        <v>0.024</v>
      </c>
      <c r="E114" s="19" t="str">
        <f aca="false">IF(OR(A114="",B114=""),"",A114&amp;"|"&amp;B114)</f>
        <v>Fe|Si</v>
      </c>
      <c r="F114" s="22"/>
    </row>
    <row r="115" customFormat="false" ht="15" hidden="false" customHeight="false" outlineLevel="0" collapsed="false">
      <c r="A115" s="8" t="s">
        <v>66</v>
      </c>
      <c r="B115" s="8" t="s">
        <v>84</v>
      </c>
      <c r="C115" s="21" t="n">
        <v>10</v>
      </c>
      <c r="D115" s="13" t="n">
        <v>0.05</v>
      </c>
      <c r="E115" s="19" t="str">
        <f aca="false">IF(OR(A115="",B115=""),"",A115&amp;"|"&amp;B115)</f>
        <v>Fe|Si</v>
      </c>
      <c r="F115" s="22"/>
    </row>
    <row r="116" customFormat="false" ht="15" hidden="false" customHeight="false" outlineLevel="0" collapsed="false">
      <c r="A116" s="8" t="s">
        <v>66</v>
      </c>
      <c r="B116" s="8" t="s">
        <v>84</v>
      </c>
      <c r="C116" s="21" t="n">
        <v>20</v>
      </c>
      <c r="D116" s="13" t="n">
        <v>0.1</v>
      </c>
      <c r="E116" s="19" t="str">
        <f aca="false">IF(OR(A116="",B116=""),"",A116&amp;"|"&amp;B116)</f>
        <v>Fe|Si</v>
      </c>
      <c r="F116" s="22"/>
    </row>
    <row r="117" customFormat="false" ht="15" hidden="false" customHeight="false" outlineLevel="0" collapsed="false">
      <c r="A117" s="8" t="s">
        <v>66</v>
      </c>
      <c r="B117" s="8" t="s">
        <v>85</v>
      </c>
      <c r="C117" s="21" t="n">
        <v>0.005</v>
      </c>
      <c r="D117" s="13" t="n">
        <v>0.001</v>
      </c>
      <c r="E117" s="19" t="str">
        <f aca="false">IF(OR(A117="",B117=""),"",A117&amp;"|"&amp;B117)</f>
        <v>Fe|Sn</v>
      </c>
      <c r="F117" s="22"/>
    </row>
    <row r="118" customFormat="false" ht="15" hidden="false" customHeight="false" outlineLevel="0" collapsed="false">
      <c r="A118" s="8" t="s">
        <v>66</v>
      </c>
      <c r="B118" s="8" t="s">
        <v>85</v>
      </c>
      <c r="C118" s="21" t="n">
        <v>0.01</v>
      </c>
      <c r="D118" s="13" t="n">
        <v>0.001</v>
      </c>
      <c r="E118" s="19" t="str">
        <f aca="false">IF(OR(A118="",B118=""),"",A118&amp;"|"&amp;B118)</f>
        <v>Fe|Sn</v>
      </c>
      <c r="F118" s="22"/>
    </row>
    <row r="119" customFormat="false" ht="15" hidden="false" customHeight="false" outlineLevel="0" collapsed="false">
      <c r="A119" s="8" t="s">
        <v>66</v>
      </c>
      <c r="B119" s="8" t="s">
        <v>85</v>
      </c>
      <c r="C119" s="21" t="n">
        <v>0.05</v>
      </c>
      <c r="D119" s="13" t="n">
        <v>0.001</v>
      </c>
      <c r="E119" s="19" t="str">
        <f aca="false">IF(OR(A119="",B119=""),"",A119&amp;"|"&amp;B119)</f>
        <v>Fe|Sn</v>
      </c>
      <c r="F119" s="22"/>
    </row>
    <row r="120" customFormat="false" ht="15" hidden="false" customHeight="false" outlineLevel="0" collapsed="false">
      <c r="E120" s="23" t="str">
        <f aca="false">IF(OR(A120="",B120=""),"",A120&amp;"|"&amp;B120)</f>
        <v/>
      </c>
    </row>
    <row r="121" customFormat="false" ht="15" hidden="false" customHeight="false" outlineLevel="0" collapsed="false">
      <c r="E121" s="23" t="str">
        <f aca="false">IF(OR(A121="",B121=""),"",A121&amp;"|"&amp;B121)</f>
        <v/>
      </c>
    </row>
    <row r="122" customFormat="false" ht="15" hidden="false" customHeight="false" outlineLevel="0" collapsed="false">
      <c r="E122" s="23" t="str">
        <f aca="false">IF(OR(A122="",B122=""),"",A122&amp;"|"&amp;B122)</f>
        <v/>
      </c>
    </row>
    <row r="123" customFormat="false" ht="15" hidden="false" customHeight="false" outlineLevel="0" collapsed="false">
      <c r="E123" s="23" t="str">
        <f aca="false">IF(OR(A123="",B123=""),"",A123&amp;"|"&amp;B123)</f>
        <v/>
      </c>
    </row>
    <row r="124" customFormat="false" ht="15" hidden="false" customHeight="false" outlineLevel="0" collapsed="false">
      <c r="E124" s="23" t="str">
        <f aca="false">IF(OR(A124="",B124=""),"",A124&amp;"|"&amp;B124)</f>
        <v/>
      </c>
    </row>
    <row r="125" customFormat="false" ht="15" hidden="false" customHeight="false" outlineLevel="0" collapsed="false">
      <c r="E125" s="23" t="str">
        <f aca="false">IF(OR(A125="",B125=""),"",A125&amp;"|"&amp;B125)</f>
        <v/>
      </c>
    </row>
    <row r="126" customFormat="false" ht="15" hidden="false" customHeight="false" outlineLevel="0" collapsed="false">
      <c r="E126" s="23" t="str">
        <f aca="false">IF(OR(A126="",B126=""),"",A126&amp;"|"&amp;B126)</f>
        <v/>
      </c>
    </row>
    <row r="127" customFormat="false" ht="15" hidden="false" customHeight="false" outlineLevel="0" collapsed="false">
      <c r="E127" s="23" t="str">
        <f aca="false">IF(OR(A127="",B127=""),"",A127&amp;"|"&amp;B127)</f>
        <v/>
      </c>
    </row>
    <row r="128" customFormat="false" ht="15" hidden="false" customHeight="false" outlineLevel="0" collapsed="false">
      <c r="E128" s="23" t="str">
        <f aca="false">IF(OR(A128="",B128=""),"",A128&amp;"|"&amp;B128)</f>
        <v/>
      </c>
    </row>
    <row r="129" customFormat="false" ht="15" hidden="false" customHeight="false" outlineLevel="0" collapsed="false">
      <c r="E129" s="23" t="str">
        <f aca="false">IF(OR(A129="",B129=""),"",A129&amp;"|"&amp;B129)</f>
        <v/>
      </c>
    </row>
    <row r="130" customFormat="false" ht="15" hidden="false" customHeight="false" outlineLevel="0" collapsed="false">
      <c r="E130" s="23" t="str">
        <f aca="false">IF(OR(A130="",B130=""),"",A130&amp;"|"&amp;B130)</f>
        <v/>
      </c>
    </row>
    <row r="131" customFormat="false" ht="15" hidden="false" customHeight="false" outlineLevel="0" collapsed="false">
      <c r="E131" s="23" t="str">
        <f aca="false">IF(OR(A131="",B131=""),"",A131&amp;"|"&amp;B131)</f>
        <v/>
      </c>
    </row>
    <row r="132" customFormat="false" ht="15" hidden="false" customHeight="false" outlineLevel="0" collapsed="false">
      <c r="E132" s="23" t="str">
        <f aca="false">IF(OR(A132="",B132=""),"",A132&amp;"|"&amp;B132)</f>
        <v/>
      </c>
    </row>
    <row r="133" customFormat="false" ht="15" hidden="false" customHeight="false" outlineLevel="0" collapsed="false">
      <c r="E133" s="23" t="str">
        <f aca="false">IF(OR(A133="",B133=""),"",A133&amp;"|"&amp;B133)</f>
        <v/>
      </c>
    </row>
    <row r="134" customFormat="false" ht="15" hidden="false" customHeight="false" outlineLevel="0" collapsed="false">
      <c r="E134" s="23" t="str">
        <f aca="false">IF(OR(A134="",B134=""),"",A134&amp;"|"&amp;B134)</f>
        <v/>
      </c>
    </row>
    <row r="135" customFormat="false" ht="15" hidden="false" customHeight="false" outlineLevel="0" collapsed="false">
      <c r="E135" s="23" t="str">
        <f aca="false">IF(OR(A135="",B135=""),"",A135&amp;"|"&amp;B135)</f>
        <v/>
      </c>
    </row>
    <row r="136" customFormat="false" ht="15" hidden="false" customHeight="false" outlineLevel="0" collapsed="false">
      <c r="E136" s="23" t="str">
        <f aca="false">IF(OR(A136="",B136=""),"",A136&amp;"|"&amp;B136)</f>
        <v/>
      </c>
    </row>
    <row r="137" customFormat="false" ht="15" hidden="false" customHeight="false" outlineLevel="0" collapsed="false">
      <c r="E137" s="23" t="str">
        <f aca="false">IF(OR(A137="",B137=""),"",A137&amp;"|"&amp;B137)</f>
        <v/>
      </c>
    </row>
    <row r="138" customFormat="false" ht="15" hidden="false" customHeight="false" outlineLevel="0" collapsed="false">
      <c r="E138" s="23" t="str">
        <f aca="false">IF(OR(A138="",B138=""),"",A138&amp;"|"&amp;B138)</f>
        <v/>
      </c>
    </row>
    <row r="139" customFormat="false" ht="15" hidden="false" customHeight="false" outlineLevel="0" collapsed="false">
      <c r="E139" s="23" t="str">
        <f aca="false">IF(OR(A139="",B139=""),"",A139&amp;"|"&amp;B139)</f>
        <v/>
      </c>
    </row>
    <row r="140" customFormat="false" ht="15" hidden="false" customHeight="false" outlineLevel="0" collapsed="false">
      <c r="E140" s="23" t="str">
        <f aca="false">IF(OR(A140="",B140=""),"",A140&amp;"|"&amp;B140)</f>
        <v/>
      </c>
    </row>
    <row r="141" customFormat="false" ht="15" hidden="false" customHeight="false" outlineLevel="0" collapsed="false">
      <c r="E141" s="23" t="str">
        <f aca="false">IF(OR(A141="",B141=""),"",A141&amp;"|"&amp;B141)</f>
        <v/>
      </c>
    </row>
    <row r="142" customFormat="false" ht="15" hidden="false" customHeight="false" outlineLevel="0" collapsed="false">
      <c r="E142" s="23" t="str">
        <f aca="false">IF(OR(A142="",B142=""),"",A142&amp;"|"&amp;B142)</f>
        <v/>
      </c>
    </row>
    <row r="143" customFormat="false" ht="15" hidden="false" customHeight="false" outlineLevel="0" collapsed="false">
      <c r="E143" s="23" t="str">
        <f aca="false">IF(OR(A143="",B143=""),"",A143&amp;"|"&amp;B143)</f>
        <v/>
      </c>
    </row>
    <row r="144" customFormat="false" ht="15" hidden="false" customHeight="false" outlineLevel="0" collapsed="false">
      <c r="E144" s="23" t="str">
        <f aca="false">IF(OR(A144="",B144=""),"",A144&amp;"|"&amp;B144)</f>
        <v/>
      </c>
    </row>
    <row r="145" customFormat="false" ht="15" hidden="false" customHeight="false" outlineLevel="0" collapsed="false">
      <c r="E145" s="23" t="str">
        <f aca="false">IF(OR(A145="",B145=""),"",A145&amp;"|"&amp;B145)</f>
        <v/>
      </c>
    </row>
    <row r="146" customFormat="false" ht="15" hidden="false" customHeight="false" outlineLevel="0" collapsed="false">
      <c r="E146" s="23" t="str">
        <f aca="false">IF(OR(A146="",B146=""),"",A146&amp;"|"&amp;B146)</f>
        <v/>
      </c>
    </row>
    <row r="147" customFormat="false" ht="15" hidden="false" customHeight="false" outlineLevel="0" collapsed="false">
      <c r="E147" s="23" t="str">
        <f aca="false">IF(OR(A147="",B147=""),"",A147&amp;"|"&amp;B147)</f>
        <v/>
      </c>
    </row>
    <row r="148" customFormat="false" ht="15" hidden="false" customHeight="false" outlineLevel="0" collapsed="false">
      <c r="E148" s="23" t="str">
        <f aca="false">IF(OR(A148="",B148=""),"",A148&amp;"|"&amp;B148)</f>
        <v/>
      </c>
    </row>
    <row r="149" customFormat="false" ht="15" hidden="false" customHeight="false" outlineLevel="0" collapsed="false">
      <c r="E149" s="23" t="str">
        <f aca="false">IF(OR(A149="",B149=""),"",A149&amp;"|"&amp;B149)</f>
        <v/>
      </c>
    </row>
    <row r="150" customFormat="false" ht="15" hidden="false" customHeight="false" outlineLevel="0" collapsed="false">
      <c r="E150" s="23" t="str">
        <f aca="false">IF(OR(A150="",B150=""),"",A150&amp;"|"&amp;B150)</f>
        <v/>
      </c>
    </row>
    <row r="151" customFormat="false" ht="15" hidden="false" customHeight="false" outlineLevel="0" collapsed="false">
      <c r="E151" s="23" t="str">
        <f aca="false">IF(OR(A151="",B151=""),"",A151&amp;"|"&amp;B151)</f>
        <v/>
      </c>
    </row>
    <row r="152" customFormat="false" ht="15" hidden="false" customHeight="false" outlineLevel="0" collapsed="false">
      <c r="E152" s="23" t="str">
        <f aca="false">IF(OR(A152="",B152=""),"",A152&amp;"|"&amp;B152)</f>
        <v/>
      </c>
    </row>
    <row r="153" customFormat="false" ht="15" hidden="false" customHeight="false" outlineLevel="0" collapsed="false">
      <c r="E153" s="23" t="str">
        <f aca="false">IF(OR(A153="",B153=""),"",A153&amp;"|"&amp;B153)</f>
        <v/>
      </c>
    </row>
    <row r="154" customFormat="false" ht="15" hidden="false" customHeight="false" outlineLevel="0" collapsed="false">
      <c r="E154" s="23" t="str">
        <f aca="false">IF(OR(A154="",B154=""),"",A154&amp;"|"&amp;B154)</f>
        <v/>
      </c>
    </row>
    <row r="155" customFormat="false" ht="15" hidden="false" customHeight="false" outlineLevel="0" collapsed="false">
      <c r="E155" s="23" t="str">
        <f aca="false">IF(OR(A155="",B155=""),"",A155&amp;"|"&amp;B155)</f>
        <v/>
      </c>
    </row>
    <row r="156" customFormat="false" ht="15" hidden="false" customHeight="false" outlineLevel="0" collapsed="false">
      <c r="E156" s="23" t="str">
        <f aca="false">IF(OR(A156="",B156=""),"",A156&amp;"|"&amp;B156)</f>
        <v/>
      </c>
    </row>
    <row r="157" customFormat="false" ht="15" hidden="false" customHeight="false" outlineLevel="0" collapsed="false">
      <c r="E157" s="23" t="str">
        <f aca="false">IF(OR(A157="",B157=""),"",A157&amp;"|"&amp;B157)</f>
        <v/>
      </c>
    </row>
    <row r="158" customFormat="false" ht="15" hidden="false" customHeight="false" outlineLevel="0" collapsed="false">
      <c r="E158" s="23" t="str">
        <f aca="false">IF(OR(A158="",B158=""),"",A158&amp;"|"&amp;B158)</f>
        <v/>
      </c>
    </row>
    <row r="159" customFormat="false" ht="15" hidden="false" customHeight="false" outlineLevel="0" collapsed="false">
      <c r="E159" s="23" t="str">
        <f aca="false">IF(OR(A159="",B159=""),"",A159&amp;"|"&amp;B159)</f>
        <v/>
      </c>
    </row>
    <row r="160" customFormat="false" ht="15" hidden="false" customHeight="false" outlineLevel="0" collapsed="false">
      <c r="E160" s="23" t="str">
        <f aca="false">IF(OR(A160="",B160=""),"",A160&amp;"|"&amp;B160)</f>
        <v/>
      </c>
    </row>
    <row r="161" customFormat="false" ht="15" hidden="false" customHeight="false" outlineLevel="0" collapsed="false">
      <c r="E161" s="23" t="str">
        <f aca="false">IF(OR(A161="",B161=""),"",A161&amp;"|"&amp;B161)</f>
        <v/>
      </c>
    </row>
    <row r="162" customFormat="false" ht="15" hidden="false" customHeight="false" outlineLevel="0" collapsed="false">
      <c r="E162" s="23" t="str">
        <f aca="false">IF(OR(A162="",B162=""),"",A162&amp;"|"&amp;B162)</f>
        <v/>
      </c>
    </row>
    <row r="163" customFormat="false" ht="15" hidden="false" customHeight="false" outlineLevel="0" collapsed="false">
      <c r="E163" s="23" t="str">
        <f aca="false">IF(OR(A163="",B163=""),"",A163&amp;"|"&amp;B163)</f>
        <v/>
      </c>
    </row>
    <row r="164" customFormat="false" ht="15" hidden="false" customHeight="false" outlineLevel="0" collapsed="false">
      <c r="E164" s="23" t="str">
        <f aca="false">IF(OR(A164="",B164=""),"",A164&amp;"|"&amp;B164)</f>
        <v/>
      </c>
    </row>
    <row r="165" customFormat="false" ht="15" hidden="false" customHeight="false" outlineLevel="0" collapsed="false">
      <c r="E165" s="23" t="str">
        <f aca="false">IF(OR(A165="",B165=""),"",A165&amp;"|"&amp;B165)</f>
        <v/>
      </c>
    </row>
    <row r="166" customFormat="false" ht="15" hidden="false" customHeight="false" outlineLevel="0" collapsed="false">
      <c r="E166" s="23" t="str">
        <f aca="false">IF(OR(A166="",B166=""),"",A166&amp;"|"&amp;B166)</f>
        <v/>
      </c>
    </row>
    <row r="167" customFormat="false" ht="15" hidden="false" customHeight="false" outlineLevel="0" collapsed="false">
      <c r="E167" s="23" t="str">
        <f aca="false">IF(OR(A167="",B167=""),"",A167&amp;"|"&amp;B167)</f>
        <v/>
      </c>
    </row>
    <row r="168" customFormat="false" ht="15" hidden="false" customHeight="false" outlineLevel="0" collapsed="false">
      <c r="E168" s="23" t="str">
        <f aca="false">IF(OR(A168="",B168=""),"",A168&amp;"|"&amp;B168)</f>
        <v/>
      </c>
    </row>
    <row r="169" customFormat="false" ht="15" hidden="false" customHeight="false" outlineLevel="0" collapsed="false">
      <c r="E169" s="23" t="str">
        <f aca="false">IF(OR(A169="",B169=""),"",A169&amp;"|"&amp;B169)</f>
        <v/>
      </c>
    </row>
    <row r="170" customFormat="false" ht="15" hidden="false" customHeight="false" outlineLevel="0" collapsed="false">
      <c r="E170" s="23" t="str">
        <f aca="false">IF(OR(A170="",B170=""),"",A170&amp;"|"&amp;B170)</f>
        <v/>
      </c>
    </row>
    <row r="171" customFormat="false" ht="15" hidden="false" customHeight="false" outlineLevel="0" collapsed="false">
      <c r="E171" s="23" t="str">
        <f aca="false">IF(OR(A171="",B171=""),"",A171&amp;"|"&amp;B171)</f>
        <v/>
      </c>
    </row>
    <row r="172" customFormat="false" ht="15" hidden="false" customHeight="false" outlineLevel="0" collapsed="false">
      <c r="E172" s="23" t="str">
        <f aca="false">IF(OR(A172="",B172=""),"",A172&amp;"|"&amp;B172)</f>
        <v/>
      </c>
    </row>
    <row r="173" customFormat="false" ht="15" hidden="false" customHeight="false" outlineLevel="0" collapsed="false">
      <c r="E173" s="23" t="str">
        <f aca="false">IF(OR(A173="",B173=""),"",A173&amp;"|"&amp;B173)</f>
        <v/>
      </c>
    </row>
    <row r="174" customFormat="false" ht="15" hidden="false" customHeight="false" outlineLevel="0" collapsed="false">
      <c r="E174" s="23" t="str">
        <f aca="false">IF(OR(A174="",B174=""),"",A174&amp;"|"&amp;B174)</f>
        <v/>
      </c>
    </row>
    <row r="175" customFormat="false" ht="15" hidden="false" customHeight="false" outlineLevel="0" collapsed="false">
      <c r="E175" s="23" t="str">
        <f aca="false">IF(OR(A175="",B175=""),"",A175&amp;"|"&amp;B175)</f>
        <v/>
      </c>
    </row>
    <row r="176" customFormat="false" ht="15" hidden="false" customHeight="false" outlineLevel="0" collapsed="false">
      <c r="E176" s="23" t="str">
        <f aca="false">IF(OR(A176="",B176=""),"",A176&amp;"|"&amp;B176)</f>
        <v/>
      </c>
    </row>
    <row r="177" customFormat="false" ht="15" hidden="false" customHeight="false" outlineLevel="0" collapsed="false">
      <c r="E177" s="23" t="str">
        <f aca="false">IF(OR(A177="",B177=""),"",A177&amp;"|"&amp;B177)</f>
        <v/>
      </c>
    </row>
    <row r="178" customFormat="false" ht="15" hidden="false" customHeight="false" outlineLevel="0" collapsed="false">
      <c r="E178" s="23" t="str">
        <f aca="false">IF(OR(A178="",B178=""),"",A178&amp;"|"&amp;B178)</f>
        <v/>
      </c>
    </row>
    <row r="179" customFormat="false" ht="15" hidden="false" customHeight="false" outlineLevel="0" collapsed="false">
      <c r="E179" s="23" t="str">
        <f aca="false">IF(OR(A179="",B179=""),"",A179&amp;"|"&amp;B179)</f>
        <v/>
      </c>
    </row>
    <row r="180" customFormat="false" ht="15" hidden="false" customHeight="false" outlineLevel="0" collapsed="false">
      <c r="E180" s="23" t="str">
        <f aca="false">IF(OR(A180="",B180=""),"",A180&amp;"|"&amp;B180)</f>
        <v/>
      </c>
    </row>
    <row r="181" customFormat="false" ht="15" hidden="false" customHeight="false" outlineLevel="0" collapsed="false">
      <c r="E181" s="23" t="str">
        <f aca="false">IF(OR(A181="",B181=""),"",A181&amp;"|"&amp;B181)</f>
        <v/>
      </c>
    </row>
    <row r="182" customFormat="false" ht="15" hidden="false" customHeight="false" outlineLevel="0" collapsed="false">
      <c r="E182" s="23" t="str">
        <f aca="false">IF(OR(A182="",B182=""),"",A182&amp;"|"&amp;B182)</f>
        <v/>
      </c>
    </row>
    <row r="183" customFormat="false" ht="15" hidden="false" customHeight="false" outlineLevel="0" collapsed="false">
      <c r="E183" s="23" t="str">
        <f aca="false">IF(OR(A183="",B183=""),"",A183&amp;"|"&amp;B183)</f>
        <v/>
      </c>
    </row>
    <row r="184" customFormat="false" ht="15" hidden="false" customHeight="false" outlineLevel="0" collapsed="false">
      <c r="E184" s="23" t="str">
        <f aca="false">IF(OR(A184="",B184=""),"",A184&amp;"|"&amp;B184)</f>
        <v/>
      </c>
    </row>
    <row r="185" customFormat="false" ht="15" hidden="false" customHeight="false" outlineLevel="0" collapsed="false">
      <c r="E185" s="23" t="str">
        <f aca="false">IF(OR(A185="",B185=""),"",A185&amp;"|"&amp;B185)</f>
        <v/>
      </c>
    </row>
    <row r="186" customFormat="false" ht="15" hidden="false" customHeight="false" outlineLevel="0" collapsed="false">
      <c r="E186" s="23" t="str">
        <f aca="false">IF(OR(A186="",B186=""),"",A186&amp;"|"&amp;B186)</f>
        <v/>
      </c>
    </row>
    <row r="187" customFormat="false" ht="15" hidden="false" customHeight="false" outlineLevel="0" collapsed="false">
      <c r="E187" s="23" t="str">
        <f aca="false">IF(OR(A187="",B187=""),"",A187&amp;"|"&amp;B187)</f>
        <v/>
      </c>
    </row>
    <row r="188" customFormat="false" ht="15" hidden="false" customHeight="false" outlineLevel="0" collapsed="false">
      <c r="E188" s="23" t="str">
        <f aca="false">IF(OR(A188="",B188=""),"",A188&amp;"|"&amp;B188)</f>
        <v/>
      </c>
    </row>
    <row r="189" customFormat="false" ht="15" hidden="false" customHeight="false" outlineLevel="0" collapsed="false">
      <c r="E189" s="23" t="str">
        <f aca="false">IF(OR(A189="",B189=""),"",A189&amp;"|"&amp;B189)</f>
        <v/>
      </c>
    </row>
    <row r="190" customFormat="false" ht="15" hidden="false" customHeight="false" outlineLevel="0" collapsed="false">
      <c r="E190" s="23" t="str">
        <f aca="false">IF(OR(A190="",B190=""),"",A190&amp;"|"&amp;B190)</f>
        <v/>
      </c>
    </row>
    <row r="191" customFormat="false" ht="15" hidden="false" customHeight="false" outlineLevel="0" collapsed="false">
      <c r="E191" s="23" t="str">
        <f aca="false">IF(OR(A191="",B191=""),"",A191&amp;"|"&amp;B191)</f>
        <v/>
      </c>
    </row>
    <row r="192" customFormat="false" ht="15" hidden="false" customHeight="false" outlineLevel="0" collapsed="false">
      <c r="E192" s="23" t="str">
        <f aca="false">IF(OR(A192="",B192=""),"",A192&amp;"|"&amp;B192)</f>
        <v/>
      </c>
    </row>
    <row r="193" customFormat="false" ht="15" hidden="false" customHeight="false" outlineLevel="0" collapsed="false">
      <c r="E193" s="23" t="str">
        <f aca="false">IF(OR(A193="",B193=""),"",A193&amp;"|"&amp;B193)</f>
        <v/>
      </c>
    </row>
    <row r="194" customFormat="false" ht="15" hidden="false" customHeight="false" outlineLevel="0" collapsed="false">
      <c r="E194" s="23" t="str">
        <f aca="false">IF(OR(A194="",B194=""),"",A194&amp;"|"&amp;B194)</f>
        <v/>
      </c>
    </row>
    <row r="195" customFormat="false" ht="15" hidden="false" customHeight="false" outlineLevel="0" collapsed="false">
      <c r="E195" s="23" t="str">
        <f aca="false">IF(OR(A195="",B195=""),"",A195&amp;"|"&amp;B195)</f>
        <v/>
      </c>
    </row>
    <row r="196" customFormat="false" ht="15" hidden="false" customHeight="false" outlineLevel="0" collapsed="false">
      <c r="E196" s="23" t="str">
        <f aca="false">IF(OR(A196="",B196=""),"",A196&amp;"|"&amp;B196)</f>
        <v/>
      </c>
    </row>
    <row r="197" customFormat="false" ht="15" hidden="false" customHeight="false" outlineLevel="0" collapsed="false">
      <c r="E197" s="23" t="str">
        <f aca="false">IF(OR(A197="",B197=""),"",A197&amp;"|"&amp;B197)</f>
        <v/>
      </c>
    </row>
    <row r="198" customFormat="false" ht="15" hidden="false" customHeight="false" outlineLevel="0" collapsed="false">
      <c r="E198" s="23" t="str">
        <f aca="false">IF(OR(A198="",B198=""),"",A198&amp;"|"&amp;B198)</f>
        <v/>
      </c>
    </row>
    <row r="199" customFormat="false" ht="15" hidden="false" customHeight="false" outlineLevel="0" collapsed="false">
      <c r="E199" s="23" t="str">
        <f aca="false">IF(OR(A199="",B199=""),"",A199&amp;"|"&amp;B199)</f>
        <v/>
      </c>
    </row>
    <row r="200" customFormat="false" ht="15" hidden="false" customHeight="false" outlineLevel="0" collapsed="false">
      <c r="E200" s="23" t="str">
        <f aca="false">IF(OR(A200="",B200=""),"",A200&amp;"|"&amp;B200)</f>
        <v/>
      </c>
    </row>
    <row r="201" customFormat="false" ht="15" hidden="false" customHeight="false" outlineLevel="0" collapsed="false">
      <c r="E201" s="23" t="str">
        <f aca="false">IF(OR(A201="",B201=""),"",A201&amp;"|"&amp;B201)</f>
        <v/>
      </c>
    </row>
    <row r="202" customFormat="false" ht="15" hidden="false" customHeight="false" outlineLevel="0" collapsed="false">
      <c r="E202" s="23" t="str">
        <f aca="false">IF(OR(A202="",B202=""),"",A202&amp;"|"&amp;B202)</f>
        <v/>
      </c>
    </row>
    <row r="203" customFormat="false" ht="15" hidden="false" customHeight="false" outlineLevel="0" collapsed="false">
      <c r="E203" s="23" t="str">
        <f aca="false">IF(OR(A203="",B203=""),"",A203&amp;"|"&amp;B203)</f>
        <v/>
      </c>
    </row>
    <row r="204" customFormat="false" ht="15" hidden="false" customHeight="false" outlineLevel="0" collapsed="false">
      <c r="E204" s="23" t="str">
        <f aca="false">IF(OR(A204="",B204=""),"",A204&amp;"|"&amp;B204)</f>
        <v/>
      </c>
    </row>
    <row r="205" customFormat="false" ht="15" hidden="false" customHeight="false" outlineLevel="0" collapsed="false">
      <c r="E205" s="23" t="str">
        <f aca="false">IF(OR(A205="",B205=""),"",A205&amp;"|"&amp;B205)</f>
        <v/>
      </c>
    </row>
    <row r="206" customFormat="false" ht="15" hidden="false" customHeight="false" outlineLevel="0" collapsed="false">
      <c r="E206" s="23" t="str">
        <f aca="false">IF(OR(A206="",B206=""),"",A206&amp;"|"&amp;B206)</f>
        <v/>
      </c>
    </row>
    <row r="207" customFormat="false" ht="15" hidden="false" customHeight="false" outlineLevel="0" collapsed="false">
      <c r="E207" s="23" t="str">
        <f aca="false">IF(OR(A207="",B207=""),"",A207&amp;"|"&amp;B207)</f>
        <v/>
      </c>
    </row>
    <row r="208" customFormat="false" ht="15" hidden="false" customHeight="false" outlineLevel="0" collapsed="false">
      <c r="E208" s="23" t="str">
        <f aca="false">IF(OR(A208="",B208=""),"",A208&amp;"|"&amp;B208)</f>
        <v/>
      </c>
    </row>
    <row r="209" customFormat="false" ht="15" hidden="false" customHeight="false" outlineLevel="0" collapsed="false">
      <c r="E209" s="23" t="str">
        <f aca="false">IF(OR(A209="",B209=""),"",A209&amp;"|"&amp;B209)</f>
        <v/>
      </c>
    </row>
    <row r="210" customFormat="false" ht="15" hidden="false" customHeight="false" outlineLevel="0" collapsed="false">
      <c r="E210" s="23" t="str">
        <f aca="false">IF(OR(A210="",B210=""),"",A210&amp;"|"&amp;B210)</f>
        <v/>
      </c>
    </row>
    <row r="211" customFormat="false" ht="15" hidden="false" customHeight="false" outlineLevel="0" collapsed="false">
      <c r="E211" s="23" t="str">
        <f aca="false">IF(OR(A211="",B211=""),"",A211&amp;"|"&amp;B211)</f>
        <v/>
      </c>
    </row>
    <row r="212" customFormat="false" ht="15" hidden="false" customHeight="false" outlineLevel="0" collapsed="false">
      <c r="E212" s="23" t="str">
        <f aca="false">IF(OR(A212="",B212=""),"",A212&amp;"|"&amp;B212)</f>
        <v/>
      </c>
    </row>
    <row r="213" customFormat="false" ht="15" hidden="false" customHeight="false" outlineLevel="0" collapsed="false">
      <c r="E213" s="23" t="str">
        <f aca="false">IF(OR(A213="",B213=""),"",A213&amp;"|"&amp;B213)</f>
        <v/>
      </c>
    </row>
    <row r="214" customFormat="false" ht="15" hidden="false" customHeight="false" outlineLevel="0" collapsed="false">
      <c r="E214" s="23" t="str">
        <f aca="false">IF(OR(A214="",B214=""),"",A214&amp;"|"&amp;B214)</f>
        <v/>
      </c>
    </row>
    <row r="215" customFormat="false" ht="15" hidden="false" customHeight="false" outlineLevel="0" collapsed="false">
      <c r="E215" s="23" t="str">
        <f aca="false">IF(OR(A215="",B215=""),"",A215&amp;"|"&amp;B215)</f>
        <v/>
      </c>
    </row>
    <row r="216" customFormat="false" ht="15" hidden="false" customHeight="false" outlineLevel="0" collapsed="false">
      <c r="E216" s="23" t="str">
        <f aca="false">IF(OR(A216="",B216=""),"",A216&amp;"|"&amp;B216)</f>
        <v/>
      </c>
    </row>
    <row r="217" customFormat="false" ht="15" hidden="false" customHeight="false" outlineLevel="0" collapsed="false">
      <c r="E217" s="23" t="str">
        <f aca="false">IF(OR(A217="",B217=""),"",A217&amp;"|"&amp;B217)</f>
        <v/>
      </c>
    </row>
    <row r="218" customFormat="false" ht="15" hidden="false" customHeight="false" outlineLevel="0" collapsed="false">
      <c r="E218" s="23" t="str">
        <f aca="false">IF(OR(A218="",B218=""),"",A218&amp;"|"&amp;B218)</f>
        <v/>
      </c>
    </row>
    <row r="219" customFormat="false" ht="15" hidden="false" customHeight="false" outlineLevel="0" collapsed="false">
      <c r="E219" s="23" t="str">
        <f aca="false">IF(OR(A219="",B219=""),"",A219&amp;"|"&amp;B219)</f>
        <v/>
      </c>
    </row>
    <row r="220" customFormat="false" ht="15" hidden="false" customHeight="false" outlineLevel="0" collapsed="false">
      <c r="E220" s="23" t="str">
        <f aca="false">IF(OR(A220="",B220=""),"",A220&amp;"|"&amp;B220)</f>
        <v/>
      </c>
    </row>
    <row r="221" customFormat="false" ht="15" hidden="false" customHeight="false" outlineLevel="0" collapsed="false">
      <c r="E221" s="23" t="str">
        <f aca="false">IF(OR(A221="",B221=""),"",A221&amp;"|"&amp;B221)</f>
        <v/>
      </c>
    </row>
    <row r="222" customFormat="false" ht="15" hidden="false" customHeight="false" outlineLevel="0" collapsed="false">
      <c r="E222" s="23" t="str">
        <f aca="false">IF(OR(A222="",B222=""),"",A222&amp;"|"&amp;B222)</f>
        <v/>
      </c>
    </row>
    <row r="223" customFormat="false" ht="15" hidden="false" customHeight="false" outlineLevel="0" collapsed="false">
      <c r="E223" s="23" t="str">
        <f aca="false">IF(OR(A223="",B223=""),"",A223&amp;"|"&amp;B223)</f>
        <v/>
      </c>
    </row>
    <row r="224" customFormat="false" ht="15" hidden="false" customHeight="false" outlineLevel="0" collapsed="false">
      <c r="E224" s="23" t="str">
        <f aca="false">IF(OR(A224="",B224=""),"",A224&amp;"|"&amp;B224)</f>
        <v/>
      </c>
    </row>
    <row r="225" customFormat="false" ht="15" hidden="false" customHeight="false" outlineLevel="0" collapsed="false">
      <c r="E225" s="23" t="str">
        <f aca="false">IF(OR(A225="",B225=""),"",A225&amp;"|"&amp;B225)</f>
        <v/>
      </c>
    </row>
    <row r="226" customFormat="false" ht="15" hidden="false" customHeight="false" outlineLevel="0" collapsed="false">
      <c r="E226" s="23" t="str">
        <f aca="false">IF(OR(A226="",B226=""),"",A226&amp;"|"&amp;B226)</f>
        <v/>
      </c>
    </row>
    <row r="227" customFormat="false" ht="15" hidden="false" customHeight="false" outlineLevel="0" collapsed="false">
      <c r="E227" s="23" t="str">
        <f aca="false">IF(OR(A227="",B227=""),"",A227&amp;"|"&amp;B227)</f>
        <v/>
      </c>
    </row>
    <row r="228" customFormat="false" ht="15" hidden="false" customHeight="false" outlineLevel="0" collapsed="false">
      <c r="E228" s="23" t="str">
        <f aca="false">IF(OR(A228="",B228=""),"",A228&amp;"|"&amp;B228)</f>
        <v/>
      </c>
    </row>
    <row r="229" customFormat="false" ht="15" hidden="false" customHeight="false" outlineLevel="0" collapsed="false">
      <c r="E229" s="23" t="str">
        <f aca="false">IF(OR(A229="",B229=""),"",A229&amp;"|"&amp;B229)</f>
        <v/>
      </c>
    </row>
    <row r="230" customFormat="false" ht="15" hidden="false" customHeight="false" outlineLevel="0" collapsed="false">
      <c r="E230" s="23" t="str">
        <f aca="false">IF(OR(A230="",B230=""),"",A230&amp;"|"&amp;B230)</f>
        <v/>
      </c>
    </row>
    <row r="231" customFormat="false" ht="15" hidden="false" customHeight="false" outlineLevel="0" collapsed="false">
      <c r="E231" s="23" t="str">
        <f aca="false">IF(OR(A231="",B231=""),"",A231&amp;"|"&amp;B231)</f>
        <v/>
      </c>
    </row>
    <row r="232" customFormat="false" ht="15" hidden="false" customHeight="false" outlineLevel="0" collapsed="false">
      <c r="E232" s="23" t="str">
        <f aca="false">IF(OR(A232="",B232=""),"",A232&amp;"|"&amp;B232)</f>
        <v/>
      </c>
    </row>
    <row r="233" customFormat="false" ht="15" hidden="false" customHeight="false" outlineLevel="0" collapsed="false">
      <c r="E233" s="23" t="str">
        <f aca="false">IF(OR(A233="",B233=""),"",A233&amp;"|"&amp;B233)</f>
        <v/>
      </c>
    </row>
    <row r="234" customFormat="false" ht="15" hidden="false" customHeight="false" outlineLevel="0" collapsed="false">
      <c r="E234" s="23" t="str">
        <f aca="false">IF(OR(A234="",B234=""),"",A234&amp;"|"&amp;B234)</f>
        <v/>
      </c>
    </row>
    <row r="235" customFormat="false" ht="15" hidden="false" customHeight="false" outlineLevel="0" collapsed="false">
      <c r="E235" s="23" t="str">
        <f aca="false">IF(OR(A235="",B235=""),"",A235&amp;"|"&amp;B235)</f>
        <v/>
      </c>
    </row>
    <row r="236" customFormat="false" ht="15" hidden="false" customHeight="false" outlineLevel="0" collapsed="false">
      <c r="E236" s="23" t="str">
        <f aca="false">IF(OR(A236="",B236=""),"",A236&amp;"|"&amp;B236)</f>
        <v/>
      </c>
    </row>
    <row r="237" customFormat="false" ht="15" hidden="false" customHeight="false" outlineLevel="0" collapsed="false">
      <c r="E237" s="23" t="str">
        <f aca="false">IF(OR(A237="",B237=""),"",A237&amp;"|"&amp;B237)</f>
        <v/>
      </c>
    </row>
    <row r="238" customFormat="false" ht="15" hidden="false" customHeight="false" outlineLevel="0" collapsed="false">
      <c r="E238" s="23" t="str">
        <f aca="false">IF(OR(A238="",B238=""),"",A238&amp;"|"&amp;B238)</f>
        <v/>
      </c>
    </row>
    <row r="239" customFormat="false" ht="15" hidden="false" customHeight="false" outlineLevel="0" collapsed="false">
      <c r="E239" s="23" t="str">
        <f aca="false">IF(OR(A239="",B239=""),"",A239&amp;"|"&amp;B239)</f>
        <v/>
      </c>
    </row>
    <row r="240" customFormat="false" ht="15" hidden="false" customHeight="false" outlineLevel="0" collapsed="false">
      <c r="E240" s="23" t="str">
        <f aca="false">IF(OR(A240="",B240=""),"",A240&amp;"|"&amp;B240)</f>
        <v/>
      </c>
    </row>
    <row r="241" customFormat="false" ht="15" hidden="false" customHeight="false" outlineLevel="0" collapsed="false">
      <c r="E241" s="23" t="str">
        <f aca="false">IF(OR(A241="",B241=""),"",A241&amp;"|"&amp;B241)</f>
        <v/>
      </c>
    </row>
    <row r="242" customFormat="false" ht="15" hidden="false" customHeight="false" outlineLevel="0" collapsed="false">
      <c r="E242" s="23" t="str">
        <f aca="false">IF(OR(A242="",B242=""),"",A242&amp;"|"&amp;B242)</f>
        <v/>
      </c>
    </row>
    <row r="243" customFormat="false" ht="15" hidden="false" customHeight="false" outlineLevel="0" collapsed="false">
      <c r="E243" s="23" t="str">
        <f aca="false">IF(OR(A243="",B243=""),"",A243&amp;"|"&amp;B243)</f>
        <v/>
      </c>
    </row>
    <row r="244" customFormat="false" ht="15" hidden="false" customHeight="false" outlineLevel="0" collapsed="false">
      <c r="E244" s="23" t="str">
        <f aca="false">IF(OR(A244="",B244=""),"",A244&amp;"|"&amp;B244)</f>
        <v/>
      </c>
    </row>
    <row r="245" customFormat="false" ht="15" hidden="false" customHeight="false" outlineLevel="0" collapsed="false">
      <c r="E245" s="23" t="str">
        <f aca="false">IF(OR(A245="",B245=""),"",A245&amp;"|"&amp;B245)</f>
        <v/>
      </c>
    </row>
    <row r="246" customFormat="false" ht="15" hidden="false" customHeight="false" outlineLevel="0" collapsed="false">
      <c r="E246" s="23" t="str">
        <f aca="false">IF(OR(A246="",B246=""),"",A246&amp;"|"&amp;B246)</f>
        <v/>
      </c>
    </row>
    <row r="247" customFormat="false" ht="15" hidden="false" customHeight="false" outlineLevel="0" collapsed="false">
      <c r="E247" s="23" t="str">
        <f aca="false">IF(OR(A247="",B247=""),"",A247&amp;"|"&amp;B247)</f>
        <v/>
      </c>
    </row>
    <row r="248" customFormat="false" ht="15" hidden="false" customHeight="false" outlineLevel="0" collapsed="false">
      <c r="E248" s="23" t="str">
        <f aca="false">IF(OR(A248="",B248=""),"",A248&amp;"|"&amp;B248)</f>
        <v/>
      </c>
    </row>
    <row r="249" customFormat="false" ht="15" hidden="false" customHeight="false" outlineLevel="0" collapsed="false">
      <c r="E249" s="23" t="str">
        <f aca="false">IF(OR(A249="",B249=""),"",A249&amp;"|"&amp;B249)</f>
        <v/>
      </c>
    </row>
    <row r="250" customFormat="false" ht="15" hidden="false" customHeight="false" outlineLevel="0" collapsed="false">
      <c r="E250" s="23" t="str">
        <f aca="false">IF(OR(A250="",B250=""),"",A250&amp;"|"&amp;B250)</f>
        <v/>
      </c>
    </row>
    <row r="251" customFormat="false" ht="15" hidden="false" customHeight="false" outlineLevel="0" collapsed="false">
      <c r="E251" s="23" t="str">
        <f aca="false">IF(OR(A251="",B251=""),"",A251&amp;"|"&amp;B251)</f>
        <v/>
      </c>
    </row>
    <row r="252" customFormat="false" ht="15" hidden="false" customHeight="false" outlineLevel="0" collapsed="false">
      <c r="E252" s="23" t="str">
        <f aca="false">IF(OR(A252="",B252=""),"",A252&amp;"|"&amp;B252)</f>
        <v/>
      </c>
    </row>
    <row r="253" customFormat="false" ht="15" hidden="false" customHeight="false" outlineLevel="0" collapsed="false">
      <c r="E253" s="23" t="str">
        <f aca="false">IF(OR(A253="",B253=""),"",A253&amp;"|"&amp;B253)</f>
        <v/>
      </c>
    </row>
    <row r="254" customFormat="false" ht="15" hidden="false" customHeight="false" outlineLevel="0" collapsed="false">
      <c r="E254" s="23" t="str">
        <f aca="false">IF(OR(A254="",B254=""),"",A254&amp;"|"&amp;B254)</f>
        <v/>
      </c>
    </row>
    <row r="255" customFormat="false" ht="15" hidden="false" customHeight="false" outlineLevel="0" collapsed="false">
      <c r="E255" s="23" t="str">
        <f aca="false">IF(OR(A255="",B255=""),"",A255&amp;"|"&amp;B255)</f>
        <v/>
      </c>
    </row>
    <row r="256" customFormat="false" ht="15" hidden="false" customHeight="false" outlineLevel="0" collapsed="false">
      <c r="E256" s="23" t="str">
        <f aca="false">IF(OR(A256="",B256=""),"",A256&amp;"|"&amp;B256)</f>
        <v/>
      </c>
    </row>
    <row r="257" customFormat="false" ht="15" hidden="false" customHeight="false" outlineLevel="0" collapsed="false">
      <c r="E257" s="23" t="str">
        <f aca="false">IF(OR(A257="",B257=""),"",A257&amp;"|"&amp;B257)</f>
        <v/>
      </c>
    </row>
    <row r="258" customFormat="false" ht="15" hidden="false" customHeight="false" outlineLevel="0" collapsed="false">
      <c r="E258" s="23" t="str">
        <f aca="false">IF(OR(A258="",B258=""),"",A258&amp;"|"&amp;B258)</f>
        <v/>
      </c>
    </row>
    <row r="259" customFormat="false" ht="15" hidden="false" customHeight="false" outlineLevel="0" collapsed="false">
      <c r="E259" s="23" t="str">
        <f aca="false">IF(OR(A259="",B259=""),"",A259&amp;"|"&amp;B259)</f>
        <v/>
      </c>
    </row>
    <row r="260" customFormat="false" ht="15" hidden="false" customHeight="false" outlineLevel="0" collapsed="false">
      <c r="E260" s="23" t="str">
        <f aca="false">IF(OR(A260="",B260=""),"",A260&amp;"|"&amp;B260)</f>
        <v/>
      </c>
    </row>
    <row r="261" customFormat="false" ht="15" hidden="false" customHeight="false" outlineLevel="0" collapsed="false">
      <c r="E261" s="23" t="str">
        <f aca="false">IF(OR(A261="",B261=""),"",A261&amp;"|"&amp;B261)</f>
        <v/>
      </c>
    </row>
    <row r="262" customFormat="false" ht="15" hidden="false" customHeight="false" outlineLevel="0" collapsed="false">
      <c r="E262" s="23" t="str">
        <f aca="false">IF(OR(A262="",B262=""),"",A262&amp;"|"&amp;B262)</f>
        <v/>
      </c>
    </row>
    <row r="263" customFormat="false" ht="15" hidden="false" customHeight="false" outlineLevel="0" collapsed="false">
      <c r="E263" s="23" t="str">
        <f aca="false">IF(OR(A263="",B263=""),"",A263&amp;"|"&amp;B263)</f>
        <v/>
      </c>
    </row>
    <row r="264" customFormat="false" ht="15" hidden="false" customHeight="false" outlineLevel="0" collapsed="false">
      <c r="E264" s="23" t="str">
        <f aca="false">IF(OR(A264="",B264=""),"",A264&amp;"|"&amp;B264)</f>
        <v/>
      </c>
    </row>
    <row r="265" customFormat="false" ht="15" hidden="false" customHeight="false" outlineLevel="0" collapsed="false">
      <c r="E265" s="23" t="str">
        <f aca="false">IF(OR(A265="",B265=""),"",A265&amp;"|"&amp;B265)</f>
        <v/>
      </c>
    </row>
    <row r="266" customFormat="false" ht="15" hidden="false" customHeight="false" outlineLevel="0" collapsed="false">
      <c r="E266" s="23" t="str">
        <f aca="false">IF(OR(A266="",B266=""),"",A266&amp;"|"&amp;B266)</f>
        <v/>
      </c>
    </row>
    <row r="267" customFormat="false" ht="15" hidden="false" customHeight="false" outlineLevel="0" collapsed="false">
      <c r="E267" s="23" t="str">
        <f aca="false">IF(OR(A267="",B267=""),"",A267&amp;"|"&amp;B267)</f>
        <v/>
      </c>
    </row>
    <row r="268" customFormat="false" ht="15" hidden="false" customHeight="false" outlineLevel="0" collapsed="false">
      <c r="E268" s="23" t="str">
        <f aca="false">IF(OR(A268="",B268=""),"",A268&amp;"|"&amp;B268)</f>
        <v/>
      </c>
    </row>
    <row r="269" customFormat="false" ht="15" hidden="false" customHeight="false" outlineLevel="0" collapsed="false">
      <c r="E269" s="23" t="str">
        <f aca="false">IF(OR(A269="",B269=""),"",A269&amp;"|"&amp;B269)</f>
        <v/>
      </c>
    </row>
    <row r="270" customFormat="false" ht="15" hidden="false" customHeight="false" outlineLevel="0" collapsed="false">
      <c r="E270" s="23" t="str">
        <f aca="false">IF(OR(A270="",B270=""),"",A270&amp;"|"&amp;B270)</f>
        <v/>
      </c>
    </row>
    <row r="271" customFormat="false" ht="15" hidden="false" customHeight="false" outlineLevel="0" collapsed="false">
      <c r="E271" s="23" t="str">
        <f aca="false">IF(OR(A271="",B271=""),"",A271&amp;"|"&amp;B271)</f>
        <v/>
      </c>
    </row>
    <row r="272" customFormat="false" ht="15" hidden="false" customHeight="false" outlineLevel="0" collapsed="false">
      <c r="E272" s="23" t="str">
        <f aca="false">IF(OR(A272="",B272=""),"",A272&amp;"|"&amp;B272)</f>
        <v/>
      </c>
    </row>
    <row r="273" customFormat="false" ht="15" hidden="false" customHeight="false" outlineLevel="0" collapsed="false">
      <c r="E273" s="23" t="str">
        <f aca="false">IF(OR(A273="",B273=""),"",A273&amp;"|"&amp;B273)</f>
        <v/>
      </c>
    </row>
    <row r="274" customFormat="false" ht="15" hidden="false" customHeight="false" outlineLevel="0" collapsed="false">
      <c r="E274" s="23" t="str">
        <f aca="false">IF(OR(A274="",B274=""),"",A274&amp;"|"&amp;B274)</f>
        <v/>
      </c>
    </row>
    <row r="275" customFormat="false" ht="15" hidden="false" customHeight="false" outlineLevel="0" collapsed="false">
      <c r="E275" s="23" t="str">
        <f aca="false">IF(OR(A275="",B275=""),"",A275&amp;"|"&amp;B275)</f>
        <v/>
      </c>
    </row>
    <row r="276" customFormat="false" ht="15" hidden="false" customHeight="false" outlineLevel="0" collapsed="false">
      <c r="E276" s="23" t="str">
        <f aca="false">IF(OR(A276="",B276=""),"",A276&amp;"|"&amp;B276)</f>
        <v/>
      </c>
    </row>
    <row r="277" customFormat="false" ht="15" hidden="false" customHeight="false" outlineLevel="0" collapsed="false">
      <c r="E277" s="23" t="str">
        <f aca="false">IF(OR(A277="",B277=""),"",A277&amp;"|"&amp;B277)</f>
        <v/>
      </c>
    </row>
    <row r="278" customFormat="false" ht="15" hidden="false" customHeight="false" outlineLevel="0" collapsed="false">
      <c r="E278" s="23" t="str">
        <f aca="false">IF(OR(A278="",B278=""),"",A278&amp;"|"&amp;B278)</f>
        <v/>
      </c>
    </row>
    <row r="279" customFormat="false" ht="15" hidden="false" customHeight="false" outlineLevel="0" collapsed="false">
      <c r="E279" s="23" t="str">
        <f aca="false">IF(OR(A279="",B279=""),"",A279&amp;"|"&amp;B279)</f>
        <v/>
      </c>
    </row>
    <row r="280" customFormat="false" ht="15" hidden="false" customHeight="false" outlineLevel="0" collapsed="false">
      <c r="E280" s="23" t="str">
        <f aca="false">IF(OR(A280="",B280=""),"",A280&amp;"|"&amp;B280)</f>
        <v/>
      </c>
    </row>
    <row r="281" customFormat="false" ht="15" hidden="false" customHeight="false" outlineLevel="0" collapsed="false">
      <c r="E281" s="23" t="str">
        <f aca="false">IF(OR(A281="",B281=""),"",A281&amp;"|"&amp;B281)</f>
        <v/>
      </c>
    </row>
    <row r="282" customFormat="false" ht="15" hidden="false" customHeight="false" outlineLevel="0" collapsed="false">
      <c r="E282" s="23" t="str">
        <f aca="false">IF(OR(A282="",B282=""),"",A282&amp;"|"&amp;B282)</f>
        <v/>
      </c>
    </row>
    <row r="283" customFormat="false" ht="15" hidden="false" customHeight="false" outlineLevel="0" collapsed="false">
      <c r="E283" s="23" t="str">
        <f aca="false">IF(OR(A283="",B283=""),"",A283&amp;"|"&amp;B283)</f>
        <v/>
      </c>
    </row>
    <row r="284" customFormat="false" ht="15" hidden="false" customHeight="false" outlineLevel="0" collapsed="false">
      <c r="E284" s="23" t="str">
        <f aca="false">IF(OR(A284="",B284=""),"",A284&amp;"|"&amp;B284)</f>
        <v/>
      </c>
    </row>
    <row r="285" customFormat="false" ht="15" hidden="false" customHeight="false" outlineLevel="0" collapsed="false">
      <c r="E285" s="23" t="str">
        <f aca="false">IF(OR(A285="",B285=""),"",A285&amp;"|"&amp;B285)</f>
        <v/>
      </c>
    </row>
    <row r="286" customFormat="false" ht="15" hidden="false" customHeight="false" outlineLevel="0" collapsed="false">
      <c r="E286" s="23" t="str">
        <f aca="false">IF(OR(A286="",B286=""),"",A286&amp;"|"&amp;B286)</f>
        <v/>
      </c>
    </row>
    <row r="287" customFormat="false" ht="15" hidden="false" customHeight="false" outlineLevel="0" collapsed="false">
      <c r="E287" s="23" t="str">
        <f aca="false">IF(OR(A287="",B287=""),"",A287&amp;"|"&amp;B287)</f>
        <v/>
      </c>
    </row>
    <row r="288" customFormat="false" ht="15" hidden="false" customHeight="false" outlineLevel="0" collapsed="false">
      <c r="E288" s="23" t="str">
        <f aca="false">IF(OR(A288="",B288=""),"",A288&amp;"|"&amp;B288)</f>
        <v/>
      </c>
    </row>
    <row r="289" customFormat="false" ht="15" hidden="false" customHeight="false" outlineLevel="0" collapsed="false">
      <c r="E289" s="23" t="str">
        <f aca="false">IF(OR(A289="",B289=""),"",A289&amp;"|"&amp;B289)</f>
        <v/>
      </c>
    </row>
    <row r="290" customFormat="false" ht="15" hidden="false" customHeight="false" outlineLevel="0" collapsed="false">
      <c r="E290" s="23" t="str">
        <f aca="false">IF(OR(A290="",B290=""),"",A290&amp;"|"&amp;B290)</f>
        <v/>
      </c>
    </row>
    <row r="291" customFormat="false" ht="15" hidden="false" customHeight="false" outlineLevel="0" collapsed="false">
      <c r="E291" s="23" t="str">
        <f aca="false">IF(OR(A291="",B291=""),"",A291&amp;"|"&amp;B291)</f>
        <v/>
      </c>
    </row>
    <row r="292" customFormat="false" ht="15" hidden="false" customHeight="false" outlineLevel="0" collapsed="false">
      <c r="E292" s="23" t="str">
        <f aca="false">IF(OR(A292="",B292=""),"",A292&amp;"|"&amp;B292)</f>
        <v/>
      </c>
    </row>
    <row r="293" customFormat="false" ht="15" hidden="false" customHeight="false" outlineLevel="0" collapsed="false">
      <c r="E293" s="23" t="str">
        <f aca="false">IF(OR(A293="",B293=""),"",A293&amp;"|"&amp;B293)</f>
        <v/>
      </c>
    </row>
    <row r="294" customFormat="false" ht="15" hidden="false" customHeight="false" outlineLevel="0" collapsed="false">
      <c r="E294" s="23" t="str">
        <f aca="false">IF(OR(A294="",B294=""),"",A294&amp;"|"&amp;B294)</f>
        <v/>
      </c>
    </row>
    <row r="295" customFormat="false" ht="15" hidden="false" customHeight="false" outlineLevel="0" collapsed="false">
      <c r="E295" s="23" t="str">
        <f aca="false">IF(OR(A295="",B295=""),"",A295&amp;"|"&amp;B295)</f>
        <v/>
      </c>
    </row>
    <row r="296" customFormat="false" ht="15" hidden="false" customHeight="false" outlineLevel="0" collapsed="false">
      <c r="E296" s="23" t="str">
        <f aca="false">IF(OR(A296="",B296=""),"",A296&amp;"|"&amp;B296)</f>
        <v/>
      </c>
    </row>
    <row r="297" customFormat="false" ht="15" hidden="false" customHeight="false" outlineLevel="0" collapsed="false">
      <c r="E297" s="23" t="str">
        <f aca="false">IF(OR(A297="",B297=""),"",A297&amp;"|"&amp;B297)</f>
        <v/>
      </c>
    </row>
    <row r="298" customFormat="false" ht="15" hidden="false" customHeight="false" outlineLevel="0" collapsed="false">
      <c r="E298" s="23" t="str">
        <f aca="false">IF(OR(A298="",B298=""),"",A298&amp;"|"&amp;B298)</f>
        <v/>
      </c>
    </row>
    <row r="299" customFormat="false" ht="15" hidden="false" customHeight="false" outlineLevel="0" collapsed="false">
      <c r="E299" s="23" t="str">
        <f aca="false">IF(OR(A299="",B299=""),"",A299&amp;"|"&amp;B299)</f>
        <v/>
      </c>
    </row>
    <row r="300" customFormat="false" ht="15" hidden="false" customHeight="false" outlineLevel="0" collapsed="false">
      <c r="E300" s="23" t="str">
        <f aca="false">IF(OR(A300="",B300=""),"",A300&amp;"|"&amp;B300)</f>
        <v/>
      </c>
    </row>
    <row r="301" customFormat="false" ht="15" hidden="false" customHeight="false" outlineLevel="0" collapsed="false">
      <c r="E301" s="23" t="str">
        <f aca="false">IF(OR(A301="",B301=""),"",A301&amp;"|"&amp;B301)</f>
        <v/>
      </c>
    </row>
    <row r="302" customFormat="false" ht="15" hidden="false" customHeight="false" outlineLevel="0" collapsed="false">
      <c r="E302" s="23" t="str">
        <f aca="false">IF(OR(A302="",B302=""),"",A302&amp;"|"&amp;B302)</f>
        <v/>
      </c>
    </row>
    <row r="303" customFormat="false" ht="15" hidden="false" customHeight="false" outlineLevel="0" collapsed="false">
      <c r="E303" s="23" t="str">
        <f aca="false">IF(OR(A303="",B303=""),"",A303&amp;"|"&amp;B303)</f>
        <v/>
      </c>
    </row>
    <row r="304" customFormat="false" ht="15" hidden="false" customHeight="false" outlineLevel="0" collapsed="false">
      <c r="E304" s="23" t="str">
        <f aca="false">IF(OR(A304="",B304=""),"",A304&amp;"|"&amp;B304)</f>
        <v/>
      </c>
    </row>
    <row r="305" customFormat="false" ht="15" hidden="false" customHeight="false" outlineLevel="0" collapsed="false">
      <c r="E305" s="23" t="str">
        <f aca="false">IF(OR(A305="",B305=""),"",A305&amp;"|"&amp;B305)</f>
        <v/>
      </c>
    </row>
    <row r="306" customFormat="false" ht="15" hidden="false" customHeight="false" outlineLevel="0" collapsed="false">
      <c r="E306" s="23" t="str">
        <f aca="false">IF(OR(A306="",B306=""),"",A306&amp;"|"&amp;B306)</f>
        <v/>
      </c>
    </row>
    <row r="307" customFormat="false" ht="15" hidden="false" customHeight="false" outlineLevel="0" collapsed="false">
      <c r="E307" s="23" t="str">
        <f aca="false">IF(OR(A307="",B307=""),"",A307&amp;"|"&amp;B307)</f>
        <v/>
      </c>
    </row>
    <row r="308" customFormat="false" ht="15" hidden="false" customHeight="false" outlineLevel="0" collapsed="false">
      <c r="E308" s="23" t="str">
        <f aca="false">IF(OR(A308="",B308=""),"",A308&amp;"|"&amp;B308)</f>
        <v/>
      </c>
    </row>
    <row r="309" customFormat="false" ht="15" hidden="false" customHeight="false" outlineLevel="0" collapsed="false">
      <c r="E309" s="23" t="str">
        <f aca="false">IF(OR(A309="",B309=""),"",A309&amp;"|"&amp;B309)</f>
        <v/>
      </c>
    </row>
    <row r="310" customFormat="false" ht="15" hidden="false" customHeight="false" outlineLevel="0" collapsed="false">
      <c r="E310" s="23" t="str">
        <f aca="false">IF(OR(A310="",B310=""),"",A310&amp;"|"&amp;B310)</f>
        <v/>
      </c>
    </row>
    <row r="311" customFormat="false" ht="15" hidden="false" customHeight="false" outlineLevel="0" collapsed="false">
      <c r="E311" s="23" t="str">
        <f aca="false">IF(OR(A311="",B311=""),"",A311&amp;"|"&amp;B311)</f>
        <v/>
      </c>
    </row>
    <row r="312" customFormat="false" ht="15" hidden="false" customHeight="false" outlineLevel="0" collapsed="false">
      <c r="E312" s="23" t="str">
        <f aca="false">IF(OR(A312="",B312=""),"",A312&amp;"|"&amp;B312)</f>
        <v/>
      </c>
    </row>
    <row r="313" customFormat="false" ht="15" hidden="false" customHeight="false" outlineLevel="0" collapsed="false">
      <c r="E313" s="23" t="str">
        <f aca="false">IF(OR(A313="",B313=""),"",A313&amp;"|"&amp;B313)</f>
        <v/>
      </c>
    </row>
    <row r="314" customFormat="false" ht="15" hidden="false" customHeight="false" outlineLevel="0" collapsed="false">
      <c r="E314" s="23" t="str">
        <f aca="false">IF(OR(A314="",B314=""),"",A314&amp;"|"&amp;B314)</f>
        <v/>
      </c>
    </row>
    <row r="315" customFormat="false" ht="15" hidden="false" customHeight="false" outlineLevel="0" collapsed="false">
      <c r="E315" s="23" t="str">
        <f aca="false">IF(OR(A315="",B315=""),"",A315&amp;"|"&amp;B315)</f>
        <v/>
      </c>
    </row>
    <row r="316" customFormat="false" ht="15" hidden="false" customHeight="false" outlineLevel="0" collapsed="false">
      <c r="E316" s="23" t="str">
        <f aca="false">IF(OR(A316="",B316=""),"",A316&amp;"|"&amp;B316)</f>
        <v/>
      </c>
    </row>
    <row r="317" customFormat="false" ht="15" hidden="false" customHeight="false" outlineLevel="0" collapsed="false">
      <c r="E317" s="23" t="str">
        <f aca="false">IF(OR(A317="",B317=""),"",A317&amp;"|"&amp;B317)</f>
        <v/>
      </c>
    </row>
    <row r="318" customFormat="false" ht="15" hidden="false" customHeight="false" outlineLevel="0" collapsed="false">
      <c r="E318" s="23" t="str">
        <f aca="false">IF(OR(A318="",B318=""),"",A318&amp;"|"&amp;B318)</f>
        <v/>
      </c>
    </row>
    <row r="319" customFormat="false" ht="15" hidden="false" customHeight="false" outlineLevel="0" collapsed="false">
      <c r="E319" s="23" t="str">
        <f aca="false">IF(OR(A319="",B319=""),"",A319&amp;"|"&amp;B319)</f>
        <v/>
      </c>
    </row>
    <row r="320" customFormat="false" ht="15" hidden="false" customHeight="false" outlineLevel="0" collapsed="false">
      <c r="E320" s="23" t="str">
        <f aca="false">IF(OR(A320="",B320=""),"",A320&amp;"|"&amp;B320)</f>
        <v/>
      </c>
    </row>
    <row r="321" customFormat="false" ht="15" hidden="false" customHeight="false" outlineLevel="0" collapsed="false">
      <c r="E321" s="23" t="str">
        <f aca="false">IF(OR(A321="",B321=""),"",A321&amp;"|"&amp;B321)</f>
        <v/>
      </c>
    </row>
    <row r="322" customFormat="false" ht="15" hidden="false" customHeight="false" outlineLevel="0" collapsed="false">
      <c r="E322" s="23" t="str">
        <f aca="false">IF(OR(A322="",B322=""),"",A322&amp;"|"&amp;B322)</f>
        <v/>
      </c>
    </row>
    <row r="323" customFormat="false" ht="15" hidden="false" customHeight="false" outlineLevel="0" collapsed="false">
      <c r="E323" s="23" t="str">
        <f aca="false">IF(OR(A323="",B323=""),"",A323&amp;"|"&amp;B323)</f>
        <v/>
      </c>
    </row>
    <row r="324" customFormat="false" ht="15" hidden="false" customHeight="false" outlineLevel="0" collapsed="false">
      <c r="E324" s="23" t="str">
        <f aca="false">IF(OR(A324="",B324=""),"",A324&amp;"|"&amp;B324)</f>
        <v/>
      </c>
    </row>
    <row r="325" customFormat="false" ht="15" hidden="false" customHeight="false" outlineLevel="0" collapsed="false">
      <c r="E325" s="23" t="str">
        <f aca="false">IF(OR(A325="",B325=""),"",A325&amp;"|"&amp;B325)</f>
        <v/>
      </c>
    </row>
    <row r="326" customFormat="false" ht="15" hidden="false" customHeight="false" outlineLevel="0" collapsed="false">
      <c r="E326" s="23" t="str">
        <f aca="false">IF(OR(A326="",B326=""),"",A326&amp;"|"&amp;B326)</f>
        <v/>
      </c>
    </row>
    <row r="327" customFormat="false" ht="15" hidden="false" customHeight="false" outlineLevel="0" collapsed="false">
      <c r="E327" s="23" t="str">
        <f aca="false">IF(OR(A327="",B327=""),"",A327&amp;"|"&amp;B327)</f>
        <v/>
      </c>
    </row>
    <row r="328" customFormat="false" ht="15" hidden="false" customHeight="false" outlineLevel="0" collapsed="false">
      <c r="E328" s="23" t="str">
        <f aca="false">IF(OR(A328="",B328=""),"",A328&amp;"|"&amp;B328)</f>
        <v/>
      </c>
    </row>
    <row r="329" customFormat="false" ht="15" hidden="false" customHeight="false" outlineLevel="0" collapsed="false">
      <c r="E329" s="23" t="str">
        <f aca="false">IF(OR(A329="",B329=""),"",A329&amp;"|"&amp;B329)</f>
        <v/>
      </c>
    </row>
    <row r="330" customFormat="false" ht="15" hidden="false" customHeight="false" outlineLevel="0" collapsed="false">
      <c r="E330" s="23" t="str">
        <f aca="false">IF(OR(A330="",B330=""),"",A330&amp;"|"&amp;B330)</f>
        <v/>
      </c>
    </row>
    <row r="331" customFormat="false" ht="15" hidden="false" customHeight="false" outlineLevel="0" collapsed="false">
      <c r="E331" s="23" t="str">
        <f aca="false">IF(OR(A331="",B331=""),"",A331&amp;"|"&amp;B331)</f>
        <v/>
      </c>
    </row>
    <row r="332" customFormat="false" ht="15" hidden="false" customHeight="false" outlineLevel="0" collapsed="false">
      <c r="E332" s="23" t="str">
        <f aca="false">IF(OR(A332="",B332=""),"",A332&amp;"|"&amp;B332)</f>
        <v/>
      </c>
    </row>
    <row r="333" customFormat="false" ht="15" hidden="false" customHeight="false" outlineLevel="0" collapsed="false">
      <c r="E333" s="23" t="str">
        <f aca="false">IF(OR(A333="",B333=""),"",A333&amp;"|"&amp;B333)</f>
        <v/>
      </c>
    </row>
    <row r="334" customFormat="false" ht="15" hidden="false" customHeight="false" outlineLevel="0" collapsed="false">
      <c r="E334" s="23" t="str">
        <f aca="false">IF(OR(A334="",B334=""),"",A334&amp;"|"&amp;B334)</f>
        <v/>
      </c>
    </row>
    <row r="335" customFormat="false" ht="15" hidden="false" customHeight="false" outlineLevel="0" collapsed="false">
      <c r="E335" s="23" t="str">
        <f aca="false">IF(OR(A335="",B335=""),"",A335&amp;"|"&amp;B335)</f>
        <v/>
      </c>
    </row>
    <row r="336" customFormat="false" ht="15" hidden="false" customHeight="false" outlineLevel="0" collapsed="false">
      <c r="E336" s="23" t="str">
        <f aca="false">IF(OR(A336="",B336=""),"",A336&amp;"|"&amp;B336)</f>
        <v/>
      </c>
    </row>
    <row r="337" customFormat="false" ht="15" hidden="false" customHeight="false" outlineLevel="0" collapsed="false">
      <c r="E337" s="23" t="str">
        <f aca="false">IF(OR(A337="",B337=""),"",A337&amp;"|"&amp;B337)</f>
        <v/>
      </c>
    </row>
    <row r="338" customFormat="false" ht="15" hidden="false" customHeight="false" outlineLevel="0" collapsed="false">
      <c r="E338" s="23" t="str">
        <f aca="false">IF(OR(A338="",B338=""),"",A338&amp;"|"&amp;B338)</f>
        <v/>
      </c>
    </row>
    <row r="339" customFormat="false" ht="15" hidden="false" customHeight="false" outlineLevel="0" collapsed="false">
      <c r="E339" s="23" t="str">
        <f aca="false">IF(OR(A339="",B339=""),"",A339&amp;"|"&amp;B339)</f>
        <v/>
      </c>
    </row>
    <row r="340" customFormat="false" ht="15" hidden="false" customHeight="false" outlineLevel="0" collapsed="false">
      <c r="E340" s="23" t="str">
        <f aca="false">IF(OR(A340="",B340=""),"",A340&amp;"|"&amp;B340)</f>
        <v/>
      </c>
    </row>
    <row r="341" customFormat="false" ht="15" hidden="false" customHeight="false" outlineLevel="0" collapsed="false">
      <c r="E341" s="23" t="str">
        <f aca="false">IF(OR(A341="",B341=""),"",A341&amp;"|"&amp;B341)</f>
        <v/>
      </c>
    </row>
    <row r="342" customFormat="false" ht="15" hidden="false" customHeight="false" outlineLevel="0" collapsed="false">
      <c r="E342" s="23" t="str">
        <f aca="false">IF(OR(A342="",B342=""),"",A342&amp;"|"&amp;B342)</f>
        <v/>
      </c>
    </row>
    <row r="343" customFormat="false" ht="15" hidden="false" customHeight="false" outlineLevel="0" collapsed="false">
      <c r="E343" s="23" t="str">
        <f aca="false">IF(OR(A343="",B343=""),"",A343&amp;"|"&amp;B343)</f>
        <v/>
      </c>
    </row>
    <row r="344" customFormat="false" ht="15" hidden="false" customHeight="false" outlineLevel="0" collapsed="false">
      <c r="E344" s="23" t="str">
        <f aca="false">IF(OR(A344="",B344=""),"",A344&amp;"|"&amp;B344)</f>
        <v/>
      </c>
    </row>
    <row r="345" customFormat="false" ht="15" hidden="false" customHeight="false" outlineLevel="0" collapsed="false">
      <c r="E345" s="23" t="str">
        <f aca="false">IF(OR(A345="",B345=""),"",A345&amp;"|"&amp;B345)</f>
        <v/>
      </c>
    </row>
    <row r="346" customFormat="false" ht="15" hidden="false" customHeight="false" outlineLevel="0" collapsed="false">
      <c r="E346" s="23" t="str">
        <f aca="false">IF(OR(A346="",B346=""),"",A346&amp;"|"&amp;B346)</f>
        <v/>
      </c>
    </row>
    <row r="347" customFormat="false" ht="15" hidden="false" customHeight="false" outlineLevel="0" collapsed="false">
      <c r="E347" s="23" t="str">
        <f aca="false">IF(OR(A347="",B347=""),"",A347&amp;"|"&amp;B347)</f>
        <v/>
      </c>
    </row>
    <row r="348" customFormat="false" ht="15" hidden="false" customHeight="false" outlineLevel="0" collapsed="false">
      <c r="E348" s="23" t="str">
        <f aca="false">IF(OR(A348="",B348=""),"",A348&amp;"|"&amp;B348)</f>
        <v/>
      </c>
    </row>
    <row r="349" customFormat="false" ht="15" hidden="false" customHeight="false" outlineLevel="0" collapsed="false">
      <c r="E349" s="23" t="str">
        <f aca="false">IF(OR(A349="",B349=""),"",A349&amp;"|"&amp;B349)</f>
        <v/>
      </c>
    </row>
    <row r="350" customFormat="false" ht="15" hidden="false" customHeight="false" outlineLevel="0" collapsed="false">
      <c r="E350" s="23" t="str">
        <f aca="false">IF(OR(A350="",B350=""),"",A350&amp;"|"&amp;B350)</f>
        <v/>
      </c>
    </row>
    <row r="351" customFormat="false" ht="15" hidden="false" customHeight="false" outlineLevel="0" collapsed="false">
      <c r="E351" s="23" t="str">
        <f aca="false">IF(OR(A351="",B351=""),"",A351&amp;"|"&amp;B351)</f>
        <v/>
      </c>
    </row>
    <row r="352" customFormat="false" ht="15" hidden="false" customHeight="false" outlineLevel="0" collapsed="false">
      <c r="E352" s="23" t="str">
        <f aca="false">IF(OR(A352="",B352=""),"",A352&amp;"|"&amp;B352)</f>
        <v/>
      </c>
    </row>
    <row r="353" customFormat="false" ht="15" hidden="false" customHeight="false" outlineLevel="0" collapsed="false">
      <c r="E353" s="23" t="str">
        <f aca="false">IF(OR(A353="",B353=""),"",A353&amp;"|"&amp;B353)</f>
        <v/>
      </c>
    </row>
    <row r="354" customFormat="false" ht="15" hidden="false" customHeight="false" outlineLevel="0" collapsed="false">
      <c r="E354" s="23" t="str">
        <f aca="false">IF(OR(A354="",B354=""),"",A354&amp;"|"&amp;B354)</f>
        <v/>
      </c>
    </row>
    <row r="355" customFormat="false" ht="15" hidden="false" customHeight="false" outlineLevel="0" collapsed="false">
      <c r="E355" s="23" t="str">
        <f aca="false">IF(OR(A355="",B355=""),"",A355&amp;"|"&amp;B355)</f>
        <v/>
      </c>
    </row>
    <row r="356" customFormat="false" ht="15" hidden="false" customHeight="false" outlineLevel="0" collapsed="false">
      <c r="E356" s="23" t="str">
        <f aca="false">IF(OR(A356="",B356=""),"",A356&amp;"|"&amp;B356)</f>
        <v/>
      </c>
    </row>
    <row r="357" customFormat="false" ht="15" hidden="false" customHeight="false" outlineLevel="0" collapsed="false">
      <c r="E357" s="23" t="str">
        <f aca="false">IF(OR(A357="",B357=""),"",A357&amp;"|"&amp;B357)</f>
        <v/>
      </c>
    </row>
    <row r="358" customFormat="false" ht="15" hidden="false" customHeight="false" outlineLevel="0" collapsed="false">
      <c r="E358" s="23" t="str">
        <f aca="false">IF(OR(A358="",B358=""),"",A358&amp;"|"&amp;B358)</f>
        <v/>
      </c>
    </row>
    <row r="359" customFormat="false" ht="15" hidden="false" customHeight="false" outlineLevel="0" collapsed="false">
      <c r="E359" s="23" t="str">
        <f aca="false">IF(OR(A359="",B359=""),"",A359&amp;"|"&amp;B359)</f>
        <v/>
      </c>
    </row>
    <row r="360" customFormat="false" ht="15" hidden="false" customHeight="false" outlineLevel="0" collapsed="false">
      <c r="E360" s="23" t="str">
        <f aca="false">IF(OR(A360="",B360=""),"",A360&amp;"|"&amp;B360)</f>
        <v/>
      </c>
    </row>
    <row r="361" customFormat="false" ht="15" hidden="false" customHeight="false" outlineLevel="0" collapsed="false">
      <c r="E361" s="23" t="str">
        <f aca="false">IF(OR(A361="",B361=""),"",A361&amp;"|"&amp;B361)</f>
        <v/>
      </c>
    </row>
    <row r="362" customFormat="false" ht="15" hidden="false" customHeight="false" outlineLevel="0" collapsed="false">
      <c r="E362" s="23" t="str">
        <f aca="false">IF(OR(A362="",B362=""),"",A362&amp;"|"&amp;B362)</f>
        <v/>
      </c>
    </row>
    <row r="363" customFormat="false" ht="15" hidden="false" customHeight="false" outlineLevel="0" collapsed="false">
      <c r="E363" s="23" t="str">
        <f aca="false">IF(OR(A363="",B363=""),"",A363&amp;"|"&amp;B363)</f>
        <v/>
      </c>
    </row>
    <row r="364" customFormat="false" ht="15" hidden="false" customHeight="false" outlineLevel="0" collapsed="false">
      <c r="E364" s="23" t="str">
        <f aca="false">IF(OR(A364="",B364=""),"",A364&amp;"|"&amp;B364)</f>
        <v/>
      </c>
    </row>
    <row r="365" customFormat="false" ht="15" hidden="false" customHeight="false" outlineLevel="0" collapsed="false">
      <c r="E365" s="23" t="str">
        <f aca="false">IF(OR(A365="",B365=""),"",A365&amp;"|"&amp;B365)</f>
        <v/>
      </c>
    </row>
    <row r="366" customFormat="false" ht="15" hidden="false" customHeight="false" outlineLevel="0" collapsed="false">
      <c r="E366" s="23" t="str">
        <f aca="false">IF(OR(A366="",B366=""),"",A366&amp;"|"&amp;B366)</f>
        <v/>
      </c>
    </row>
    <row r="367" customFormat="false" ht="15" hidden="false" customHeight="false" outlineLevel="0" collapsed="false">
      <c r="E367" s="23" t="str">
        <f aca="false">IF(OR(A367="",B367=""),"",A367&amp;"|"&amp;B367)</f>
        <v/>
      </c>
    </row>
    <row r="368" customFormat="false" ht="15" hidden="false" customHeight="false" outlineLevel="0" collapsed="false">
      <c r="E368" s="23" t="str">
        <f aca="false">IF(OR(A368="",B368=""),"",A368&amp;"|"&amp;B368)</f>
        <v/>
      </c>
    </row>
    <row r="369" customFormat="false" ht="15" hidden="false" customHeight="false" outlineLevel="0" collapsed="false">
      <c r="E369" s="23" t="str">
        <f aca="false">IF(OR(A369="",B369=""),"",A369&amp;"|"&amp;B369)</f>
        <v/>
      </c>
    </row>
    <row r="370" customFormat="false" ht="15" hidden="false" customHeight="false" outlineLevel="0" collapsed="false">
      <c r="E370" s="23" t="str">
        <f aca="false">IF(OR(A370="",B370=""),"",A370&amp;"|"&amp;B370)</f>
        <v/>
      </c>
    </row>
    <row r="371" customFormat="false" ht="15" hidden="false" customHeight="false" outlineLevel="0" collapsed="false">
      <c r="E371" s="23" t="str">
        <f aca="false">IF(OR(A371="",B371=""),"",A371&amp;"|"&amp;B371)</f>
        <v/>
      </c>
    </row>
    <row r="372" customFormat="false" ht="15" hidden="false" customHeight="false" outlineLevel="0" collapsed="false">
      <c r="E372" s="23" t="str">
        <f aca="false">IF(OR(A372="",B372=""),"",A372&amp;"|"&amp;B372)</f>
        <v/>
      </c>
    </row>
    <row r="373" customFormat="false" ht="15" hidden="false" customHeight="false" outlineLevel="0" collapsed="false">
      <c r="E373" s="23" t="str">
        <f aca="false">IF(OR(A373="",B373=""),"",A373&amp;"|"&amp;B373)</f>
        <v/>
      </c>
    </row>
    <row r="374" customFormat="false" ht="15" hidden="false" customHeight="false" outlineLevel="0" collapsed="false">
      <c r="E374" s="23" t="str">
        <f aca="false">IF(OR(A374="",B374=""),"",A374&amp;"|"&amp;B374)</f>
        <v/>
      </c>
    </row>
    <row r="375" customFormat="false" ht="15" hidden="false" customHeight="false" outlineLevel="0" collapsed="false">
      <c r="E375" s="23" t="str">
        <f aca="false">IF(OR(A375="",B375=""),"",A375&amp;"|"&amp;B375)</f>
        <v/>
      </c>
    </row>
    <row r="376" customFormat="false" ht="15" hidden="false" customHeight="false" outlineLevel="0" collapsed="false">
      <c r="E376" s="23" t="str">
        <f aca="false">IF(OR(A376="",B376=""),"",A376&amp;"|"&amp;B376)</f>
        <v/>
      </c>
    </row>
    <row r="377" customFormat="false" ht="15" hidden="false" customHeight="false" outlineLevel="0" collapsed="false">
      <c r="E377" s="23" t="str">
        <f aca="false">IF(OR(A377="",B377=""),"",A377&amp;"|"&amp;B377)</f>
        <v/>
      </c>
    </row>
    <row r="378" customFormat="false" ht="15" hidden="false" customHeight="false" outlineLevel="0" collapsed="false">
      <c r="E378" s="23" t="str">
        <f aca="false">IF(OR(A378="",B378=""),"",A378&amp;"|"&amp;B378)</f>
        <v/>
      </c>
    </row>
    <row r="379" customFormat="false" ht="15" hidden="false" customHeight="false" outlineLevel="0" collapsed="false">
      <c r="E379" s="23" t="str">
        <f aca="false">IF(OR(A379="",B379=""),"",A379&amp;"|"&amp;B379)</f>
        <v/>
      </c>
    </row>
    <row r="380" customFormat="false" ht="15" hidden="false" customHeight="false" outlineLevel="0" collapsed="false">
      <c r="E380" s="23" t="str">
        <f aca="false">IF(OR(A380="",B380=""),"",A380&amp;"|"&amp;B380)</f>
        <v/>
      </c>
    </row>
    <row r="381" customFormat="false" ht="15" hidden="false" customHeight="false" outlineLevel="0" collapsed="false">
      <c r="E381" s="23" t="str">
        <f aca="false">IF(OR(A381="",B381=""),"",A381&amp;"|"&amp;B381)</f>
        <v/>
      </c>
    </row>
    <row r="382" customFormat="false" ht="15" hidden="false" customHeight="false" outlineLevel="0" collapsed="false">
      <c r="E382" s="23" t="str">
        <f aca="false">IF(OR(A382="",B382=""),"",A382&amp;"|"&amp;B382)</f>
        <v/>
      </c>
    </row>
    <row r="383" customFormat="false" ht="15" hidden="false" customHeight="false" outlineLevel="0" collapsed="false">
      <c r="E383" s="23" t="str">
        <f aca="false">IF(OR(A383="",B383=""),"",A383&amp;"|"&amp;B383)</f>
        <v/>
      </c>
    </row>
    <row r="384" customFormat="false" ht="15" hidden="false" customHeight="false" outlineLevel="0" collapsed="false">
      <c r="E384" s="23" t="str">
        <f aca="false">IF(OR(A384="",B384=""),"",A384&amp;"|"&amp;B384)</f>
        <v/>
      </c>
    </row>
    <row r="385" customFormat="false" ht="15" hidden="false" customHeight="false" outlineLevel="0" collapsed="false">
      <c r="E385" s="23" t="str">
        <f aca="false">IF(OR(A385="",B385=""),"",A385&amp;"|"&amp;B385)</f>
        <v/>
      </c>
    </row>
    <row r="386" customFormat="false" ht="15" hidden="false" customHeight="false" outlineLevel="0" collapsed="false">
      <c r="E386" s="23" t="str">
        <f aca="false">IF(OR(A386="",B386=""),"",A386&amp;"|"&amp;B386)</f>
        <v/>
      </c>
    </row>
    <row r="387" customFormat="false" ht="15" hidden="false" customHeight="false" outlineLevel="0" collapsed="false">
      <c r="E387" s="23" t="str">
        <f aca="false">IF(OR(A387="",B387=""),"",A387&amp;"|"&amp;B387)</f>
        <v/>
      </c>
    </row>
    <row r="388" customFormat="false" ht="15" hidden="false" customHeight="false" outlineLevel="0" collapsed="false">
      <c r="E388" s="23" t="str">
        <f aca="false">IF(OR(A388="",B388=""),"",A388&amp;"|"&amp;B388)</f>
        <v/>
      </c>
    </row>
    <row r="389" customFormat="false" ht="15" hidden="false" customHeight="false" outlineLevel="0" collapsed="false">
      <c r="E389" s="23" t="str">
        <f aca="false">IF(OR(A389="",B389=""),"",A389&amp;"|"&amp;B389)</f>
        <v/>
      </c>
    </row>
    <row r="390" customFormat="false" ht="15" hidden="false" customHeight="false" outlineLevel="0" collapsed="false">
      <c r="E390" s="23" t="str">
        <f aca="false">IF(OR(A390="",B390=""),"",A390&amp;"|"&amp;B390)</f>
        <v/>
      </c>
    </row>
    <row r="391" customFormat="false" ht="15" hidden="false" customHeight="false" outlineLevel="0" collapsed="false">
      <c r="E391" s="23" t="str">
        <f aca="false">IF(OR(A391="",B391=""),"",A391&amp;"|"&amp;B391)</f>
        <v/>
      </c>
    </row>
    <row r="392" customFormat="false" ht="15" hidden="false" customHeight="false" outlineLevel="0" collapsed="false">
      <c r="E392" s="23" t="str">
        <f aca="false">IF(OR(A392="",B392=""),"",A392&amp;"|"&amp;B392)</f>
        <v/>
      </c>
    </row>
    <row r="393" customFormat="false" ht="15" hidden="false" customHeight="false" outlineLevel="0" collapsed="false">
      <c r="E393" s="23" t="str">
        <f aca="false">IF(OR(A393="",B393=""),"",A393&amp;"|"&amp;B393)</f>
        <v/>
      </c>
    </row>
    <row r="394" customFormat="false" ht="15" hidden="false" customHeight="false" outlineLevel="0" collapsed="false">
      <c r="E394" s="23" t="str">
        <f aca="false">IF(OR(A394="",B394=""),"",A394&amp;"|"&amp;B394)</f>
        <v/>
      </c>
    </row>
    <row r="395" customFormat="false" ht="15" hidden="false" customHeight="false" outlineLevel="0" collapsed="false">
      <c r="E395" s="23" t="str">
        <f aca="false">IF(OR(A395="",B395=""),"",A395&amp;"|"&amp;B395)</f>
        <v/>
      </c>
    </row>
    <row r="396" customFormat="false" ht="15" hidden="false" customHeight="false" outlineLevel="0" collapsed="false">
      <c r="E396" s="23" t="str">
        <f aca="false">IF(OR(A396="",B396=""),"",A396&amp;"|"&amp;B396)</f>
        <v/>
      </c>
    </row>
    <row r="397" customFormat="false" ht="15" hidden="false" customHeight="false" outlineLevel="0" collapsed="false">
      <c r="E397" s="23" t="str">
        <f aca="false">IF(OR(A397="",B397=""),"",A397&amp;"|"&amp;B397)</f>
        <v/>
      </c>
    </row>
    <row r="398" customFormat="false" ht="15" hidden="false" customHeight="false" outlineLevel="0" collapsed="false">
      <c r="E398" s="23" t="str">
        <f aca="false">IF(OR(A398="",B398=""),"",A398&amp;"|"&amp;B398)</f>
        <v/>
      </c>
    </row>
    <row r="399" customFormat="false" ht="15" hidden="false" customHeight="false" outlineLevel="0" collapsed="false">
      <c r="E399" s="23" t="str">
        <f aca="false">IF(OR(A399="",B399=""),"",A399&amp;"|"&amp;B399)</f>
        <v/>
      </c>
    </row>
    <row r="400" customFormat="false" ht="15" hidden="false" customHeight="false" outlineLevel="0" collapsed="false">
      <c r="E400" s="23" t="str">
        <f aca="false">IF(OR(A400="",B400=""),"",A400&amp;"|"&amp;B400)</f>
        <v/>
      </c>
    </row>
    <row r="401" customFormat="false" ht="15" hidden="false" customHeight="false" outlineLevel="0" collapsed="false">
      <c r="E401" s="23" t="str">
        <f aca="false">IF(OR(A401="",B401=""),"",A401&amp;"|"&amp;B401)</f>
        <v/>
      </c>
    </row>
    <row r="402" customFormat="false" ht="15" hidden="false" customHeight="false" outlineLevel="0" collapsed="false">
      <c r="E402" s="23" t="str">
        <f aca="false">IF(OR(A402="",B402=""),"",A402&amp;"|"&amp;B402)</f>
        <v/>
      </c>
    </row>
    <row r="403" customFormat="false" ht="15" hidden="false" customHeight="false" outlineLevel="0" collapsed="false">
      <c r="E403" s="23" t="str">
        <f aca="false">IF(OR(A403="",B403=""),"",A403&amp;"|"&amp;B403)</f>
        <v/>
      </c>
    </row>
    <row r="404" customFormat="false" ht="15" hidden="false" customHeight="false" outlineLevel="0" collapsed="false">
      <c r="E404" s="23" t="str">
        <f aca="false">IF(OR(A404="",B404=""),"",A404&amp;"|"&amp;B404)</f>
        <v/>
      </c>
    </row>
    <row r="405" customFormat="false" ht="15" hidden="false" customHeight="false" outlineLevel="0" collapsed="false">
      <c r="E405" s="23" t="str">
        <f aca="false">IF(OR(A405="",B405=""),"",A405&amp;"|"&amp;B405)</f>
        <v/>
      </c>
    </row>
    <row r="406" customFormat="false" ht="15" hidden="false" customHeight="false" outlineLevel="0" collapsed="false">
      <c r="E406" s="23" t="str">
        <f aca="false">IF(OR(A406="",B406=""),"",A406&amp;"|"&amp;B406)</f>
        <v/>
      </c>
    </row>
    <row r="407" customFormat="false" ht="15" hidden="false" customHeight="false" outlineLevel="0" collapsed="false">
      <c r="E407" s="23" t="str">
        <f aca="false">IF(OR(A407="",B407=""),"",A407&amp;"|"&amp;B407)</f>
        <v/>
      </c>
    </row>
    <row r="408" customFormat="false" ht="15" hidden="false" customHeight="false" outlineLevel="0" collapsed="false">
      <c r="E408" s="23" t="str">
        <f aca="false">IF(OR(A408="",B408=""),"",A408&amp;"|"&amp;B408)</f>
        <v/>
      </c>
    </row>
    <row r="409" customFormat="false" ht="15" hidden="false" customHeight="false" outlineLevel="0" collapsed="false">
      <c r="E409" s="23" t="str">
        <f aca="false">IF(OR(A409="",B409=""),"",A409&amp;"|"&amp;B409)</f>
        <v/>
      </c>
    </row>
    <row r="410" customFormat="false" ht="15" hidden="false" customHeight="false" outlineLevel="0" collapsed="false">
      <c r="E410" s="23" t="str">
        <f aca="false">IF(OR(A410="",B410=""),"",A410&amp;"|"&amp;B410)</f>
        <v/>
      </c>
    </row>
    <row r="411" customFormat="false" ht="15" hidden="false" customHeight="false" outlineLevel="0" collapsed="false">
      <c r="E411" s="23" t="str">
        <f aca="false">IF(OR(A411="",B411=""),"",A411&amp;"|"&amp;B411)</f>
        <v/>
      </c>
    </row>
    <row r="412" customFormat="false" ht="15" hidden="false" customHeight="false" outlineLevel="0" collapsed="false">
      <c r="E412" s="23" t="str">
        <f aca="false">IF(OR(A412="",B412=""),"",A412&amp;"|"&amp;B412)</f>
        <v/>
      </c>
    </row>
    <row r="413" customFormat="false" ht="15" hidden="false" customHeight="false" outlineLevel="0" collapsed="false">
      <c r="E413" s="23" t="str">
        <f aca="false">IF(OR(A413="",B413=""),"",A413&amp;"|"&amp;B413)</f>
        <v/>
      </c>
    </row>
    <row r="414" customFormat="false" ht="15" hidden="false" customHeight="false" outlineLevel="0" collapsed="false">
      <c r="E414" s="23" t="str">
        <f aca="false">IF(OR(A414="",B414=""),"",A414&amp;"|"&amp;B414)</f>
        <v/>
      </c>
    </row>
    <row r="415" customFormat="false" ht="15" hidden="false" customHeight="false" outlineLevel="0" collapsed="false">
      <c r="E415" s="23" t="str">
        <f aca="false">IF(OR(A415="",B415=""),"",A415&amp;"|"&amp;B415)</f>
        <v/>
      </c>
    </row>
    <row r="416" customFormat="false" ht="15" hidden="false" customHeight="false" outlineLevel="0" collapsed="false">
      <c r="E416" s="23" t="str">
        <f aca="false">IF(OR(A416="",B416=""),"",A416&amp;"|"&amp;B416)</f>
        <v/>
      </c>
    </row>
    <row r="417" customFormat="false" ht="15" hidden="false" customHeight="false" outlineLevel="0" collapsed="false">
      <c r="E417" s="23" t="str">
        <f aca="false">IF(OR(A417="",B417=""),"",A417&amp;"|"&amp;B417)</f>
        <v/>
      </c>
    </row>
    <row r="418" customFormat="false" ht="15" hidden="false" customHeight="false" outlineLevel="0" collapsed="false">
      <c r="E418" s="23" t="str">
        <f aca="false">IF(OR(A418="",B418=""),"",A418&amp;"|"&amp;B418)</f>
        <v/>
      </c>
    </row>
    <row r="419" customFormat="false" ht="15" hidden="false" customHeight="false" outlineLevel="0" collapsed="false">
      <c r="E419" s="23" t="str">
        <f aca="false">IF(OR(A419="",B419=""),"",A419&amp;"|"&amp;B419)</f>
        <v/>
      </c>
    </row>
    <row r="420" customFormat="false" ht="15" hidden="false" customHeight="false" outlineLevel="0" collapsed="false">
      <c r="E420" s="23" t="str">
        <f aca="false">IF(OR(A420="",B420=""),"",A420&amp;"|"&amp;B420)</f>
        <v/>
      </c>
    </row>
    <row r="421" customFormat="false" ht="15" hidden="false" customHeight="false" outlineLevel="0" collapsed="false">
      <c r="E421" s="23" t="str">
        <f aca="false">IF(OR(A421="",B421=""),"",A421&amp;"|"&amp;B421)</f>
        <v/>
      </c>
    </row>
    <row r="422" customFormat="false" ht="15" hidden="false" customHeight="false" outlineLevel="0" collapsed="false">
      <c r="E422" s="23" t="str">
        <f aca="false">IF(OR(A422="",B422=""),"",A422&amp;"|"&amp;B422)</f>
        <v/>
      </c>
    </row>
    <row r="423" customFormat="false" ht="15" hidden="false" customHeight="false" outlineLevel="0" collapsed="false">
      <c r="E423" s="23" t="str">
        <f aca="false">IF(OR(A423="",B423=""),"",A423&amp;"|"&amp;B423)</f>
        <v/>
      </c>
    </row>
    <row r="424" customFormat="false" ht="15" hidden="false" customHeight="false" outlineLevel="0" collapsed="false">
      <c r="E424" s="23" t="str">
        <f aca="false">IF(OR(A424="",B424=""),"",A424&amp;"|"&amp;B424)</f>
        <v/>
      </c>
    </row>
    <row r="425" customFormat="false" ht="15" hidden="false" customHeight="false" outlineLevel="0" collapsed="false">
      <c r="E425" s="23" t="str">
        <f aca="false">IF(OR(A425="",B425=""),"",A425&amp;"|"&amp;B425)</f>
        <v/>
      </c>
    </row>
    <row r="426" customFormat="false" ht="15" hidden="false" customHeight="false" outlineLevel="0" collapsed="false">
      <c r="E426" s="23" t="str">
        <f aca="false">IF(OR(A426="",B426=""),"",A426&amp;"|"&amp;B426)</f>
        <v/>
      </c>
    </row>
    <row r="427" customFormat="false" ht="15" hidden="false" customHeight="false" outlineLevel="0" collapsed="false">
      <c r="E427" s="23" t="str">
        <f aca="false">IF(OR(A427="",B427=""),"",A427&amp;"|"&amp;B427)</f>
        <v/>
      </c>
    </row>
    <row r="428" customFormat="false" ht="15" hidden="false" customHeight="false" outlineLevel="0" collapsed="false">
      <c r="E428" s="23" t="str">
        <f aca="false">IF(OR(A428="",B428=""),"",A428&amp;"|"&amp;B428)</f>
        <v/>
      </c>
    </row>
    <row r="429" customFormat="false" ht="15" hidden="false" customHeight="false" outlineLevel="0" collapsed="false">
      <c r="E429" s="23" t="str">
        <f aca="false">IF(OR(A429="",B429=""),"",A429&amp;"|"&amp;B429)</f>
        <v/>
      </c>
    </row>
    <row r="430" customFormat="false" ht="15" hidden="false" customHeight="false" outlineLevel="0" collapsed="false">
      <c r="E430" s="23" t="str">
        <f aca="false">IF(OR(A430="",B430=""),"",A430&amp;"|"&amp;B430)</f>
        <v/>
      </c>
    </row>
    <row r="431" customFormat="false" ht="15" hidden="false" customHeight="false" outlineLevel="0" collapsed="false">
      <c r="E431" s="23" t="str">
        <f aca="false">IF(OR(A431="",B431=""),"",A431&amp;"|"&amp;B431)</f>
        <v/>
      </c>
    </row>
    <row r="432" customFormat="false" ht="15" hidden="false" customHeight="false" outlineLevel="0" collapsed="false">
      <c r="E432" s="23" t="str">
        <f aca="false">IF(OR(A432="",B432=""),"",A432&amp;"|"&amp;B432)</f>
        <v/>
      </c>
    </row>
    <row r="433" customFormat="false" ht="15" hidden="false" customHeight="false" outlineLevel="0" collapsed="false">
      <c r="E433" s="23" t="str">
        <f aca="false">IF(OR(A433="",B433=""),"",A433&amp;"|"&amp;B433)</f>
        <v/>
      </c>
    </row>
    <row r="434" customFormat="false" ht="15" hidden="false" customHeight="false" outlineLevel="0" collapsed="false">
      <c r="E434" s="23" t="str">
        <f aca="false">IF(OR(A434="",B434=""),"",A434&amp;"|"&amp;B434)</f>
        <v/>
      </c>
    </row>
    <row r="435" customFormat="false" ht="15" hidden="false" customHeight="false" outlineLevel="0" collapsed="false">
      <c r="E435" s="23" t="str">
        <f aca="false">IF(OR(A435="",B435=""),"",A435&amp;"|"&amp;B435)</f>
        <v/>
      </c>
    </row>
    <row r="436" customFormat="false" ht="15" hidden="false" customHeight="false" outlineLevel="0" collapsed="false">
      <c r="E436" s="23" t="str">
        <f aca="false">IF(OR(A436="",B436=""),"",A436&amp;"|"&amp;B436)</f>
        <v/>
      </c>
    </row>
    <row r="437" customFormat="false" ht="15" hidden="false" customHeight="false" outlineLevel="0" collapsed="false">
      <c r="E437" s="23" t="str">
        <f aca="false">IF(OR(A437="",B437=""),"",A437&amp;"|"&amp;B437)</f>
        <v/>
      </c>
    </row>
    <row r="438" customFormat="false" ht="15" hidden="false" customHeight="false" outlineLevel="0" collapsed="false">
      <c r="E438" s="23" t="str">
        <f aca="false">IF(OR(A438="",B438=""),"",A438&amp;"|"&amp;B438)</f>
        <v/>
      </c>
    </row>
    <row r="439" customFormat="false" ht="15" hidden="false" customHeight="false" outlineLevel="0" collapsed="false">
      <c r="E439" s="23" t="str">
        <f aca="false">IF(OR(A439="",B439=""),"",A439&amp;"|"&amp;B439)</f>
        <v/>
      </c>
    </row>
    <row r="440" customFormat="false" ht="15" hidden="false" customHeight="false" outlineLevel="0" collapsed="false">
      <c r="E440" s="23" t="str">
        <f aca="false">IF(OR(A440="",B440=""),"",A440&amp;"|"&amp;B440)</f>
        <v/>
      </c>
    </row>
    <row r="441" customFormat="false" ht="15" hidden="false" customHeight="false" outlineLevel="0" collapsed="false">
      <c r="E441" s="23" t="str">
        <f aca="false">IF(OR(A441="",B441=""),"",A441&amp;"|"&amp;B441)</f>
        <v/>
      </c>
    </row>
    <row r="442" customFormat="false" ht="15" hidden="false" customHeight="false" outlineLevel="0" collapsed="false">
      <c r="E442" s="23" t="str">
        <f aca="false">IF(OR(A442="",B442=""),"",A442&amp;"|"&amp;B442)</f>
        <v/>
      </c>
    </row>
    <row r="443" customFormat="false" ht="15" hidden="false" customHeight="false" outlineLevel="0" collapsed="false">
      <c r="E443" s="23" t="str">
        <f aca="false">IF(OR(A443="",B443=""),"",A443&amp;"|"&amp;B443)</f>
        <v/>
      </c>
    </row>
    <row r="444" customFormat="false" ht="15" hidden="false" customHeight="false" outlineLevel="0" collapsed="false">
      <c r="E444" s="23" t="str">
        <f aca="false">IF(OR(A444="",B444=""),"",A444&amp;"|"&amp;B444)</f>
        <v/>
      </c>
    </row>
    <row r="445" customFormat="false" ht="15" hidden="false" customHeight="false" outlineLevel="0" collapsed="false">
      <c r="E445" s="23" t="str">
        <f aca="false">IF(OR(A445="",B445=""),"",A445&amp;"|"&amp;B445)</f>
        <v/>
      </c>
    </row>
    <row r="446" customFormat="false" ht="15" hidden="false" customHeight="false" outlineLevel="0" collapsed="false">
      <c r="E446" s="23" t="str">
        <f aca="false">IF(OR(A446="",B446=""),"",A446&amp;"|"&amp;B446)</f>
        <v/>
      </c>
    </row>
    <row r="447" customFormat="false" ht="15" hidden="false" customHeight="false" outlineLevel="0" collapsed="false">
      <c r="E447" s="23" t="str">
        <f aca="false">IF(OR(A447="",B447=""),"",A447&amp;"|"&amp;B447)</f>
        <v/>
      </c>
    </row>
    <row r="448" customFormat="false" ht="15" hidden="false" customHeight="false" outlineLevel="0" collapsed="false">
      <c r="E448" s="23" t="str">
        <f aca="false">IF(OR(A448="",B448=""),"",A448&amp;"|"&amp;B448)</f>
        <v/>
      </c>
    </row>
    <row r="449" customFormat="false" ht="15" hidden="false" customHeight="false" outlineLevel="0" collapsed="false">
      <c r="E449" s="23" t="str">
        <f aca="false">IF(OR(A449="",B449=""),"",A449&amp;"|"&amp;B449)</f>
        <v/>
      </c>
    </row>
    <row r="450" customFormat="false" ht="15" hidden="false" customHeight="false" outlineLevel="0" collapsed="false">
      <c r="E450" s="23" t="str">
        <f aca="false">IF(OR(A450="",B450=""),"",A450&amp;"|"&amp;B450)</f>
        <v/>
      </c>
    </row>
    <row r="451" customFormat="false" ht="15" hidden="false" customHeight="false" outlineLevel="0" collapsed="false">
      <c r="E451" s="23" t="str">
        <f aca="false">IF(OR(A451="",B451=""),"",A451&amp;"|"&amp;B451)</f>
        <v/>
      </c>
    </row>
    <row r="452" customFormat="false" ht="15" hidden="false" customHeight="false" outlineLevel="0" collapsed="false">
      <c r="E452" s="23" t="str">
        <f aca="false">IF(OR(A452="",B452=""),"",A452&amp;"|"&amp;B452)</f>
        <v/>
      </c>
    </row>
    <row r="453" customFormat="false" ht="15" hidden="false" customHeight="false" outlineLevel="0" collapsed="false">
      <c r="E453" s="23" t="str">
        <f aca="false">IF(OR(A453="",B453=""),"",A453&amp;"|"&amp;B453)</f>
        <v/>
      </c>
    </row>
    <row r="454" customFormat="false" ht="15" hidden="false" customHeight="false" outlineLevel="0" collapsed="false">
      <c r="E454" s="23" t="str">
        <f aca="false">IF(OR(A454="",B454=""),"",A454&amp;"|"&amp;B454)</f>
        <v/>
      </c>
    </row>
    <row r="455" customFormat="false" ht="15" hidden="false" customHeight="false" outlineLevel="0" collapsed="false">
      <c r="E455" s="23" t="str">
        <f aca="false">IF(OR(A455="",B455=""),"",A455&amp;"|"&amp;B455)</f>
        <v/>
      </c>
    </row>
    <row r="456" customFormat="false" ht="15" hidden="false" customHeight="false" outlineLevel="0" collapsed="false">
      <c r="E456" s="23" t="str">
        <f aca="false">IF(OR(A456="",B456=""),"",A456&amp;"|"&amp;B456)</f>
        <v/>
      </c>
    </row>
    <row r="457" customFormat="false" ht="15" hidden="false" customHeight="false" outlineLevel="0" collapsed="false">
      <c r="E457" s="23" t="str">
        <f aca="false">IF(OR(A457="",B457=""),"",A457&amp;"|"&amp;B457)</f>
        <v/>
      </c>
    </row>
    <row r="458" customFormat="false" ht="15" hidden="false" customHeight="false" outlineLevel="0" collapsed="false">
      <c r="E458" s="23" t="str">
        <f aca="false">IF(OR(A458="",B458=""),"",A458&amp;"|"&amp;B458)</f>
        <v/>
      </c>
    </row>
    <row r="459" customFormat="false" ht="15" hidden="false" customHeight="false" outlineLevel="0" collapsed="false">
      <c r="E459" s="23" t="str">
        <f aca="false">IF(OR(A459="",B459=""),"",A459&amp;"|"&amp;B459)</f>
        <v/>
      </c>
    </row>
    <row r="460" customFormat="false" ht="15" hidden="false" customHeight="false" outlineLevel="0" collapsed="false">
      <c r="E460" s="23" t="str">
        <f aca="false">IF(OR(A460="",B460=""),"",A460&amp;"|"&amp;B460)</f>
        <v/>
      </c>
    </row>
    <row r="461" customFormat="false" ht="15" hidden="false" customHeight="false" outlineLevel="0" collapsed="false">
      <c r="E461" s="23" t="str">
        <f aca="false">IF(OR(A461="",B461=""),"",A461&amp;"|"&amp;B461)</f>
        <v/>
      </c>
    </row>
    <row r="462" customFormat="false" ht="15" hidden="false" customHeight="false" outlineLevel="0" collapsed="false">
      <c r="E462" s="23" t="str">
        <f aca="false">IF(OR(A462="",B462=""),"",A462&amp;"|"&amp;B462)</f>
        <v/>
      </c>
    </row>
    <row r="463" customFormat="false" ht="15" hidden="false" customHeight="false" outlineLevel="0" collapsed="false">
      <c r="E463" s="23" t="str">
        <f aca="false">IF(OR(A463="",B463=""),"",A463&amp;"|"&amp;B463)</f>
        <v/>
      </c>
    </row>
    <row r="464" customFormat="false" ht="15" hidden="false" customHeight="false" outlineLevel="0" collapsed="false">
      <c r="E464" s="23" t="str">
        <f aca="false">IF(OR(A464="",B464=""),"",A464&amp;"|"&amp;B464)</f>
        <v/>
      </c>
    </row>
    <row r="465" customFormat="false" ht="15" hidden="false" customHeight="false" outlineLevel="0" collapsed="false">
      <c r="E465" s="23" t="str">
        <f aca="false">IF(OR(A465="",B465=""),"",A465&amp;"|"&amp;B465)</f>
        <v/>
      </c>
    </row>
    <row r="466" customFormat="false" ht="15" hidden="false" customHeight="false" outlineLevel="0" collapsed="false">
      <c r="E466" s="23" t="str">
        <f aca="false">IF(OR(A466="",B466=""),"",A466&amp;"|"&amp;B466)</f>
        <v/>
      </c>
    </row>
    <row r="467" customFormat="false" ht="15" hidden="false" customHeight="false" outlineLevel="0" collapsed="false">
      <c r="E467" s="23" t="str">
        <f aca="false">IF(OR(A467="",B467=""),"",A467&amp;"|"&amp;B467)</f>
        <v/>
      </c>
    </row>
    <row r="468" customFormat="false" ht="15" hidden="false" customHeight="false" outlineLevel="0" collapsed="false">
      <c r="E468" s="23" t="str">
        <f aca="false">IF(OR(A468="",B468=""),"",A468&amp;"|"&amp;B468)</f>
        <v/>
      </c>
    </row>
    <row r="469" customFormat="false" ht="15" hidden="false" customHeight="false" outlineLevel="0" collapsed="false">
      <c r="E469" s="23" t="str">
        <f aca="false">IF(OR(A469="",B469=""),"",A469&amp;"|"&amp;B469)</f>
        <v/>
      </c>
    </row>
    <row r="470" customFormat="false" ht="15" hidden="false" customHeight="false" outlineLevel="0" collapsed="false">
      <c r="E470" s="23" t="str">
        <f aca="false">IF(OR(A470="",B470=""),"",A470&amp;"|"&amp;B470)</f>
        <v/>
      </c>
    </row>
    <row r="471" customFormat="false" ht="15" hidden="false" customHeight="false" outlineLevel="0" collapsed="false">
      <c r="E471" s="23" t="str">
        <f aca="false">IF(OR(A471="",B471=""),"",A471&amp;"|"&amp;B471)</f>
        <v/>
      </c>
    </row>
    <row r="472" customFormat="false" ht="15" hidden="false" customHeight="false" outlineLevel="0" collapsed="false">
      <c r="E472" s="23" t="str">
        <f aca="false">IF(OR(A472="",B472=""),"",A472&amp;"|"&amp;B472)</f>
        <v/>
      </c>
    </row>
    <row r="473" customFormat="false" ht="15" hidden="false" customHeight="false" outlineLevel="0" collapsed="false">
      <c r="E473" s="23" t="str">
        <f aca="false">IF(OR(A473="",B473=""),"",A473&amp;"|"&amp;B473)</f>
        <v/>
      </c>
    </row>
    <row r="474" customFormat="false" ht="15" hidden="false" customHeight="false" outlineLevel="0" collapsed="false">
      <c r="E474" s="23" t="str">
        <f aca="false">IF(OR(A474="",B474=""),"",A474&amp;"|"&amp;B474)</f>
        <v/>
      </c>
    </row>
    <row r="475" customFormat="false" ht="15" hidden="false" customHeight="false" outlineLevel="0" collapsed="false">
      <c r="E475" s="23" t="str">
        <f aca="false">IF(OR(A475="",B475=""),"",A475&amp;"|"&amp;B475)</f>
        <v/>
      </c>
    </row>
    <row r="476" customFormat="false" ht="15" hidden="false" customHeight="false" outlineLevel="0" collapsed="false">
      <c r="E476" s="23" t="str">
        <f aca="false">IF(OR(A476="",B476=""),"",A476&amp;"|"&amp;B476)</f>
        <v/>
      </c>
    </row>
    <row r="477" customFormat="false" ht="15" hidden="false" customHeight="false" outlineLevel="0" collapsed="false">
      <c r="E477" s="23" t="str">
        <f aca="false">IF(OR(A477="",B477=""),"",A477&amp;"|"&amp;B477)</f>
        <v/>
      </c>
    </row>
    <row r="478" customFormat="false" ht="15" hidden="false" customHeight="false" outlineLevel="0" collapsed="false">
      <c r="E478" s="23" t="str">
        <f aca="false">IF(OR(A478="",B478=""),"",A478&amp;"|"&amp;B478)</f>
        <v/>
      </c>
    </row>
    <row r="479" customFormat="false" ht="15" hidden="false" customHeight="false" outlineLevel="0" collapsed="false">
      <c r="E479" s="23" t="str">
        <f aca="false">IF(OR(A479="",B479=""),"",A479&amp;"|"&amp;B479)</f>
        <v/>
      </c>
    </row>
    <row r="480" customFormat="false" ht="15" hidden="false" customHeight="false" outlineLevel="0" collapsed="false">
      <c r="E480" s="23" t="str">
        <f aca="false">IF(OR(A480="",B480=""),"",A480&amp;"|"&amp;B480)</f>
        <v/>
      </c>
    </row>
    <row r="481" customFormat="false" ht="15" hidden="false" customHeight="false" outlineLevel="0" collapsed="false">
      <c r="E481" s="23" t="str">
        <f aca="false">IF(OR(A481="",B481=""),"",A481&amp;"|"&amp;B481)</f>
        <v/>
      </c>
    </row>
    <row r="482" customFormat="false" ht="15" hidden="false" customHeight="false" outlineLevel="0" collapsed="false">
      <c r="E482" s="23" t="str">
        <f aca="false">IF(OR(A482="",B482=""),"",A482&amp;"|"&amp;B482)</f>
        <v/>
      </c>
    </row>
    <row r="483" customFormat="false" ht="15" hidden="false" customHeight="false" outlineLevel="0" collapsed="false">
      <c r="E483" s="23" t="str">
        <f aca="false">IF(OR(A483="",B483=""),"",A483&amp;"|"&amp;B483)</f>
        <v/>
      </c>
    </row>
    <row r="484" customFormat="false" ht="15" hidden="false" customHeight="false" outlineLevel="0" collapsed="false">
      <c r="E484" s="23" t="str">
        <f aca="false">IF(OR(A484="",B484=""),"",A484&amp;"|"&amp;B484)</f>
        <v/>
      </c>
    </row>
    <row r="485" customFormat="false" ht="15" hidden="false" customHeight="false" outlineLevel="0" collapsed="false">
      <c r="E485" s="23" t="str">
        <f aca="false">IF(OR(A485="",B485=""),"",A485&amp;"|"&amp;B485)</f>
        <v/>
      </c>
    </row>
    <row r="486" customFormat="false" ht="15" hidden="false" customHeight="false" outlineLevel="0" collapsed="false">
      <c r="E486" s="23" t="str">
        <f aca="false">IF(OR(A486="",B486=""),"",A486&amp;"|"&amp;B486)</f>
        <v/>
      </c>
    </row>
    <row r="487" customFormat="false" ht="15" hidden="false" customHeight="false" outlineLevel="0" collapsed="false">
      <c r="E487" s="23" t="str">
        <f aca="false">IF(OR(A487="",B487=""),"",A487&amp;"|"&amp;B487)</f>
        <v/>
      </c>
    </row>
    <row r="488" customFormat="false" ht="15" hidden="false" customHeight="false" outlineLevel="0" collapsed="false">
      <c r="E488" s="23" t="str">
        <f aca="false">IF(OR(A488="",B488=""),"",A488&amp;"|"&amp;B488)</f>
        <v/>
      </c>
    </row>
    <row r="489" customFormat="false" ht="15" hidden="false" customHeight="false" outlineLevel="0" collapsed="false">
      <c r="E489" s="23" t="str">
        <f aca="false">IF(OR(A489="",B489=""),"",A489&amp;"|"&amp;B489)</f>
        <v/>
      </c>
    </row>
    <row r="490" customFormat="false" ht="15" hidden="false" customHeight="false" outlineLevel="0" collapsed="false">
      <c r="E490" s="23" t="str">
        <f aca="false">IF(OR(A490="",B490=""),"",A490&amp;"|"&amp;B490)</f>
        <v/>
      </c>
    </row>
    <row r="491" customFormat="false" ht="15" hidden="false" customHeight="false" outlineLevel="0" collapsed="false">
      <c r="E491" s="23" t="str">
        <f aca="false">IF(OR(A491="",B491=""),"",A491&amp;"|"&amp;B491)</f>
        <v/>
      </c>
    </row>
    <row r="492" customFormat="false" ht="15" hidden="false" customHeight="false" outlineLevel="0" collapsed="false">
      <c r="E492" s="23" t="str">
        <f aca="false">IF(OR(A492="",B492=""),"",A492&amp;"|"&amp;B492)</f>
        <v/>
      </c>
    </row>
    <row r="493" customFormat="false" ht="15" hidden="false" customHeight="false" outlineLevel="0" collapsed="false">
      <c r="E493" s="23" t="str">
        <f aca="false">IF(OR(A493="",B493=""),"",A493&amp;"|"&amp;B493)</f>
        <v/>
      </c>
    </row>
    <row r="494" customFormat="false" ht="15" hidden="false" customHeight="false" outlineLevel="0" collapsed="false">
      <c r="E494" s="23" t="str">
        <f aca="false">IF(OR(A494="",B494=""),"",A494&amp;"|"&amp;B494)</f>
        <v/>
      </c>
    </row>
    <row r="495" customFormat="false" ht="15" hidden="false" customHeight="false" outlineLevel="0" collapsed="false">
      <c r="E495" s="23" t="str">
        <f aca="false">IF(OR(A495="",B495=""),"",A495&amp;"|"&amp;B495)</f>
        <v/>
      </c>
    </row>
    <row r="496" customFormat="false" ht="15" hidden="false" customHeight="false" outlineLevel="0" collapsed="false">
      <c r="E496" s="23" t="str">
        <f aca="false">IF(OR(A496="",B496=""),"",A496&amp;"|"&amp;B496)</f>
        <v/>
      </c>
    </row>
    <row r="497" customFormat="false" ht="15" hidden="false" customHeight="false" outlineLevel="0" collapsed="false">
      <c r="E497" s="23" t="str">
        <f aca="false">IF(OR(A497="",B497=""),"",A497&amp;"|"&amp;B497)</f>
        <v/>
      </c>
    </row>
    <row r="498" customFormat="false" ht="15" hidden="false" customHeight="false" outlineLevel="0" collapsed="false">
      <c r="E498" s="23" t="str">
        <f aca="false">IF(OR(A498="",B498=""),"",A498&amp;"|"&amp;B498)</f>
        <v/>
      </c>
    </row>
    <row r="499" customFormat="false" ht="15" hidden="false" customHeight="false" outlineLevel="0" collapsed="false">
      <c r="E499" s="23" t="str">
        <f aca="false">IF(OR(A499="",B499=""),"",A499&amp;"|"&amp;B499)</f>
        <v/>
      </c>
    </row>
    <row r="500" customFormat="false" ht="15" hidden="false" customHeight="false" outlineLevel="0" collapsed="false">
      <c r="E500" s="23" t="str">
        <f aca="false">IF(OR(A500="",B500=""),"",A500&amp;"|"&amp;B500)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27.6" hidden="false" customHeight="false" outlineLevel="0" collapsed="false">
      <c r="A1" s="10" t="s">
        <v>35</v>
      </c>
      <c r="B1" s="10" t="s">
        <v>37</v>
      </c>
      <c r="C1" s="11" t="s">
        <v>90</v>
      </c>
      <c r="D1" s="10" t="s">
        <v>91</v>
      </c>
      <c r="E1" s="10" t="s">
        <v>92</v>
      </c>
      <c r="F1" s="10" t="s">
        <v>88</v>
      </c>
    </row>
    <row r="2" customFormat="false" ht="15" hidden="false" customHeight="false" outlineLevel="0" collapsed="false">
      <c r="A2" s="8" t="s">
        <v>66</v>
      </c>
      <c r="B2" s="8" t="s">
        <v>69</v>
      </c>
      <c r="C2" s="8"/>
      <c r="D2" s="8" t="n">
        <v>30</v>
      </c>
      <c r="E2" s="24" t="n">
        <v>6.24</v>
      </c>
      <c r="F2" s="19" t="str">
        <f aca="false">IF(OR(A2="",B2=""),"",A2&amp;"|"&amp;B2)</f>
        <v>Fe|Al</v>
      </c>
    </row>
    <row r="3" customFormat="false" ht="15" hidden="false" customHeight="false" outlineLevel="0" collapsed="false">
      <c r="A3" s="8" t="s">
        <v>66</v>
      </c>
      <c r="B3" s="8" t="s">
        <v>70</v>
      </c>
      <c r="C3" s="8" t="s">
        <v>93</v>
      </c>
      <c r="D3" s="8" t="n">
        <v>50</v>
      </c>
      <c r="E3" s="24" t="n">
        <v>0.28</v>
      </c>
      <c r="F3" s="19" t="str">
        <f aca="false">IF(OR(A3="",B3=""),"",A3&amp;"|"&amp;B3)</f>
        <v>Fe|As</v>
      </c>
    </row>
    <row r="4" customFormat="false" ht="15" hidden="false" customHeight="false" outlineLevel="0" collapsed="false">
      <c r="A4" s="8" t="s">
        <v>66</v>
      </c>
      <c r="B4" s="8" t="s">
        <v>71</v>
      </c>
      <c r="C4" s="8" t="s">
        <v>93</v>
      </c>
      <c r="D4" s="8" t="n">
        <v>5</v>
      </c>
      <c r="E4" s="24" t="n">
        <v>0.13</v>
      </c>
      <c r="F4" s="19" t="str">
        <f aca="false">IF(OR(A4="",B4=""),"",A4&amp;"|"&amp;B4)</f>
        <v>Fe|B</v>
      </c>
    </row>
    <row r="5" customFormat="false" ht="15" hidden="false" customHeight="false" outlineLevel="0" collapsed="false">
      <c r="A5" s="8" t="s">
        <v>66</v>
      </c>
      <c r="B5" s="8" t="s">
        <v>72</v>
      </c>
      <c r="C5" s="8" t="s">
        <v>93</v>
      </c>
      <c r="D5" s="8" t="n">
        <v>60</v>
      </c>
      <c r="E5" s="24" t="n">
        <v>5.4</v>
      </c>
      <c r="F5" s="19" t="str">
        <f aca="false">IF(OR(A5="",B5=""),"",A5&amp;"|"&amp;B5)</f>
        <v>Fe|C</v>
      </c>
    </row>
    <row r="6" customFormat="false" ht="15" hidden="false" customHeight="false" outlineLevel="0" collapsed="false">
      <c r="A6" s="8" t="s">
        <v>66</v>
      </c>
      <c r="B6" s="8" t="s">
        <v>73</v>
      </c>
      <c r="C6" s="8"/>
      <c r="D6" s="8" t="n">
        <v>100</v>
      </c>
      <c r="E6" s="24" t="n">
        <v>5.4</v>
      </c>
      <c r="F6" s="19" t="str">
        <f aca="false">IF(OR(A6="",B6=""),"",A6&amp;"|"&amp;B6)</f>
        <v>Fe|C(air)</v>
      </c>
    </row>
    <row r="7" customFormat="false" ht="15" hidden="false" customHeight="false" outlineLevel="0" collapsed="false">
      <c r="A7" s="8" t="s">
        <v>66</v>
      </c>
      <c r="B7" s="8" t="s">
        <v>74</v>
      </c>
      <c r="C7" s="8"/>
      <c r="D7" s="8" t="n">
        <v>90</v>
      </c>
      <c r="E7" s="24" t="n">
        <v>21.6</v>
      </c>
      <c r="F7" s="19" t="str">
        <f aca="false">IF(OR(A7="",B7=""),"",A7&amp;"|"&amp;B7)</f>
        <v>Fe|Co</v>
      </c>
    </row>
    <row r="8" customFormat="false" ht="15" hidden="false" customHeight="false" outlineLevel="0" collapsed="false">
      <c r="A8" s="8" t="s">
        <v>66</v>
      </c>
      <c r="B8" s="8" t="s">
        <v>75</v>
      </c>
      <c r="C8" s="8"/>
      <c r="D8" s="8" t="n">
        <v>60</v>
      </c>
      <c r="E8" s="24" t="n">
        <v>39.6</v>
      </c>
      <c r="F8" s="19" t="str">
        <f aca="false">IF(OR(A8="",B8=""),"",A8&amp;"|"&amp;B8)</f>
        <v>Fe|Cr</v>
      </c>
    </row>
    <row r="9" customFormat="false" ht="15" hidden="false" customHeight="false" outlineLevel="0" collapsed="false">
      <c r="A9" s="8" t="s">
        <v>66</v>
      </c>
      <c r="B9" s="8" t="s">
        <v>76</v>
      </c>
      <c r="C9" s="8"/>
      <c r="D9" s="8" t="n">
        <v>20</v>
      </c>
      <c r="E9" s="24" t="n">
        <v>9.72</v>
      </c>
      <c r="F9" s="19" t="str">
        <f aca="false">IF(OR(A9="",B9=""),"",A9&amp;"|"&amp;B9)</f>
        <v>Fe|Cu</v>
      </c>
    </row>
    <row r="10" customFormat="false" ht="15" hidden="false" customHeight="false" outlineLevel="0" collapsed="false">
      <c r="A10" s="8" t="s">
        <v>66</v>
      </c>
      <c r="B10" s="8" t="s">
        <v>77</v>
      </c>
      <c r="C10" s="8"/>
      <c r="D10" s="8" t="n">
        <v>20</v>
      </c>
      <c r="E10" s="24" t="n">
        <v>0.28</v>
      </c>
      <c r="F10" s="19" t="str">
        <f aca="false">IF(OR(A10="",B10=""),"",A10&amp;"|"&amp;B10)</f>
        <v>Fe|Mg</v>
      </c>
    </row>
    <row r="11" customFormat="false" ht="15" hidden="false" customHeight="false" outlineLevel="0" collapsed="false">
      <c r="A11" s="8" t="s">
        <v>66</v>
      </c>
      <c r="B11" s="8" t="s">
        <v>68</v>
      </c>
      <c r="C11" s="8"/>
      <c r="D11" s="8" t="n">
        <v>40</v>
      </c>
      <c r="E11" s="24" t="n">
        <v>24</v>
      </c>
      <c r="F11" s="19" t="str">
        <f aca="false">IF(OR(A11="",B11=""),"",A11&amp;"|"&amp;B11)</f>
        <v>Fe|Mn</v>
      </c>
    </row>
    <row r="12" customFormat="false" ht="15" hidden="false" customHeight="false" outlineLevel="0" collapsed="false">
      <c r="A12" s="8" t="s">
        <v>66</v>
      </c>
      <c r="B12" s="8" t="s">
        <v>78</v>
      </c>
      <c r="C12" s="8"/>
      <c r="D12" s="8" t="n">
        <v>30</v>
      </c>
      <c r="E12" s="24" t="n">
        <v>11.4</v>
      </c>
      <c r="F12" s="19" t="str">
        <f aca="false">IF(OR(A12="",B12=""),"",A12&amp;"|"&amp;B12)</f>
        <v>Fe|Mo</v>
      </c>
    </row>
    <row r="13" customFormat="false" ht="15" hidden="false" customHeight="false" outlineLevel="0" collapsed="false">
      <c r="A13" s="8" t="s">
        <v>66</v>
      </c>
      <c r="B13" s="8" t="s">
        <v>79</v>
      </c>
      <c r="C13" s="8"/>
      <c r="D13" s="8" t="n">
        <v>50</v>
      </c>
      <c r="E13" s="24" t="n">
        <v>3.6</v>
      </c>
      <c r="F13" s="19" t="str">
        <f aca="false">IF(OR(A13="",B13=""),"",A13&amp;"|"&amp;B13)</f>
        <v>Fe|Nb</v>
      </c>
    </row>
    <row r="14" customFormat="false" ht="15" hidden="false" customHeight="false" outlineLevel="0" collapsed="false">
      <c r="A14" s="8" t="s">
        <v>66</v>
      </c>
      <c r="B14" s="8" t="s">
        <v>80</v>
      </c>
      <c r="C14" s="8"/>
      <c r="D14" s="8" t="n">
        <v>80</v>
      </c>
      <c r="E14" s="24" t="n">
        <v>55.2</v>
      </c>
      <c r="F14" s="19" t="str">
        <f aca="false">IF(OR(A14="",B14=""),"",A14&amp;"|"&amp;B14)</f>
        <v>Fe|Ni</v>
      </c>
    </row>
    <row r="15" customFormat="false" ht="15" hidden="false" customHeight="false" outlineLevel="0" collapsed="false">
      <c r="A15" s="8" t="s">
        <v>66</v>
      </c>
      <c r="B15" s="8" t="s">
        <v>81</v>
      </c>
      <c r="C15" s="8" t="s">
        <v>93</v>
      </c>
      <c r="D15" s="8" t="n">
        <v>30</v>
      </c>
      <c r="E15" s="24" t="n">
        <v>2.88</v>
      </c>
      <c r="F15" s="19" t="str">
        <f aca="false">IF(OR(A15="",B15=""),"",A15&amp;"|"&amp;B15)</f>
        <v>Fe|P</v>
      </c>
    </row>
    <row r="16" customFormat="false" ht="15" hidden="false" customHeight="false" outlineLevel="0" collapsed="false">
      <c r="A16" s="8" t="s">
        <v>66</v>
      </c>
      <c r="B16" s="8" t="s">
        <v>82</v>
      </c>
      <c r="C16" s="8"/>
      <c r="D16" s="8" t="n">
        <v>100</v>
      </c>
      <c r="E16" s="24" t="n">
        <v>0.32</v>
      </c>
      <c r="F16" s="19" t="str">
        <f aca="false">IF(OR(A16="",B16=""),"",A16&amp;"|"&amp;B16)</f>
        <v>Fe|Pb</v>
      </c>
    </row>
    <row r="17" customFormat="false" ht="15" hidden="false" customHeight="false" outlineLevel="0" collapsed="false">
      <c r="A17" s="8" t="s">
        <v>66</v>
      </c>
      <c r="B17" s="8" t="s">
        <v>83</v>
      </c>
      <c r="C17" s="8" t="s">
        <v>93</v>
      </c>
      <c r="D17" s="8" t="n">
        <v>20</v>
      </c>
      <c r="E17" s="24" t="n">
        <v>0.51</v>
      </c>
      <c r="F17" s="19" t="str">
        <f aca="false">IF(OR(A17="",B17=""),"",A17&amp;"|"&amp;B17)</f>
        <v>Fe|S</v>
      </c>
    </row>
    <row r="18" customFormat="false" ht="15" hidden="false" customHeight="false" outlineLevel="0" collapsed="false">
      <c r="A18" s="8" t="s">
        <v>66</v>
      </c>
      <c r="B18" s="8" t="s">
        <v>84</v>
      </c>
      <c r="C18" s="8"/>
      <c r="D18" s="8" t="n">
        <v>70</v>
      </c>
      <c r="E18" s="24" t="n">
        <v>24</v>
      </c>
      <c r="F18" s="19" t="str">
        <f aca="false">IF(OR(A18="",B18=""),"",A18&amp;"|"&amp;B18)</f>
        <v>Fe|Si</v>
      </c>
    </row>
    <row r="19" customFormat="false" ht="15" hidden="false" customHeight="false" outlineLevel="0" collapsed="false">
      <c r="A19" s="8" t="s">
        <v>66</v>
      </c>
      <c r="B19" s="8" t="s">
        <v>85</v>
      </c>
      <c r="C19" s="8" t="s">
        <v>93</v>
      </c>
      <c r="D19" s="8" t="n">
        <v>20</v>
      </c>
      <c r="E19" s="24" t="n">
        <v>0.3</v>
      </c>
      <c r="F19" s="19" t="str">
        <f aca="false">IF(OR(A19="",B19=""),"",A19&amp;"|"&amp;B19)</f>
        <v>Fe|Sn</v>
      </c>
    </row>
    <row r="20" customFormat="false" ht="15" hidden="false" customHeight="false" outlineLevel="0" collapsed="false">
      <c r="F20" s="23" t="str">
        <f aca="false">IF(OR(A20="",B20=""),"",A20&amp;"|"&amp;B20)</f>
        <v/>
      </c>
    </row>
    <row r="21" customFormat="false" ht="15" hidden="false" customHeight="false" outlineLevel="0" collapsed="false">
      <c r="F21" s="23" t="str">
        <f aca="false">IF(OR(A21="",B21=""),"",A21&amp;"|"&amp;B21)</f>
        <v/>
      </c>
    </row>
    <row r="22" customFormat="false" ht="15" hidden="false" customHeight="false" outlineLevel="0" collapsed="false">
      <c r="F22" s="23" t="str">
        <f aca="false">IF(OR(A22="",B22=""),"",A22&amp;"|"&amp;B22)</f>
        <v/>
      </c>
    </row>
    <row r="23" customFormat="false" ht="15" hidden="false" customHeight="false" outlineLevel="0" collapsed="false">
      <c r="F23" s="23" t="str">
        <f aca="false">IF(OR(A23="",B23=""),"",A23&amp;"|"&amp;B23)</f>
        <v/>
      </c>
    </row>
    <row r="24" customFormat="false" ht="15" hidden="false" customHeight="false" outlineLevel="0" collapsed="false">
      <c r="F24" s="23" t="str">
        <f aca="false">IF(OR(A24="",B24=""),"",A24&amp;"|"&amp;B24)</f>
        <v/>
      </c>
    </row>
    <row r="25" customFormat="false" ht="15" hidden="false" customHeight="false" outlineLevel="0" collapsed="false">
      <c r="F25" s="23" t="str">
        <f aca="false">IF(OR(A25="",B25=""),"",A25&amp;"|"&amp;B25)</f>
        <v/>
      </c>
    </row>
    <row r="26" customFormat="false" ht="15" hidden="false" customHeight="false" outlineLevel="0" collapsed="false">
      <c r="F26" s="23" t="str">
        <f aca="false">IF(OR(A26="",B26=""),"",A26&amp;"|"&amp;B26)</f>
        <v/>
      </c>
    </row>
    <row r="27" customFormat="false" ht="15" hidden="false" customHeight="false" outlineLevel="0" collapsed="false">
      <c r="F27" s="23" t="str">
        <f aca="false">IF(OR(A27="",B27=""),"",A27&amp;"|"&amp;B27)</f>
        <v/>
      </c>
    </row>
    <row r="28" customFormat="false" ht="15" hidden="false" customHeight="false" outlineLevel="0" collapsed="false">
      <c r="F28" s="23" t="str">
        <f aca="false">IF(OR(A28="",B28=""),"",A28&amp;"|"&amp;B28)</f>
        <v/>
      </c>
    </row>
    <row r="29" customFormat="false" ht="15" hidden="false" customHeight="false" outlineLevel="0" collapsed="false">
      <c r="F29" s="23" t="str">
        <f aca="false">IF(OR(A29="",B29=""),"",A29&amp;"|"&amp;B29)</f>
        <v/>
      </c>
    </row>
    <row r="30" customFormat="false" ht="15" hidden="false" customHeight="false" outlineLevel="0" collapsed="false">
      <c r="F30" s="23" t="str">
        <f aca="false">IF(OR(A30="",B30=""),"",A30&amp;"|"&amp;B30)</f>
        <v/>
      </c>
    </row>
    <row r="31" customFormat="false" ht="15" hidden="false" customHeight="false" outlineLevel="0" collapsed="false">
      <c r="F31" s="23" t="str">
        <f aca="false">IF(OR(A31="",B31=""),"",A31&amp;"|"&amp;B31)</f>
        <v/>
      </c>
    </row>
    <row r="32" customFormat="false" ht="15" hidden="false" customHeight="false" outlineLevel="0" collapsed="false">
      <c r="F32" s="23" t="str">
        <f aca="false">IF(OR(A32="",B32=""),"",A32&amp;"|"&amp;B32)</f>
        <v/>
      </c>
    </row>
    <row r="33" customFormat="false" ht="15" hidden="false" customHeight="false" outlineLevel="0" collapsed="false">
      <c r="F33" s="23" t="str">
        <f aca="false">IF(OR(A33="",B33=""),"",A33&amp;"|"&amp;B33)</f>
        <v/>
      </c>
    </row>
    <row r="34" customFormat="false" ht="15" hidden="false" customHeight="false" outlineLevel="0" collapsed="false">
      <c r="F34" s="23" t="str">
        <f aca="false">IF(OR(A34="",B34=""),"",A34&amp;"|"&amp;B34)</f>
        <v/>
      </c>
    </row>
    <row r="35" customFormat="false" ht="15" hidden="false" customHeight="false" outlineLevel="0" collapsed="false">
      <c r="F35" s="23" t="str">
        <f aca="false">IF(OR(A35="",B35=""),"",A35&amp;"|"&amp;B35)</f>
        <v/>
      </c>
    </row>
    <row r="36" customFormat="false" ht="15" hidden="false" customHeight="false" outlineLevel="0" collapsed="false">
      <c r="F36" s="23" t="str">
        <f aca="false">IF(OR(A36="",B36=""),"",A36&amp;"|"&amp;B36)</f>
        <v/>
      </c>
    </row>
    <row r="37" customFormat="false" ht="15" hidden="false" customHeight="false" outlineLevel="0" collapsed="false">
      <c r="F37" s="23" t="str">
        <f aca="false">IF(OR(A37="",B37=""),"",A37&amp;"|"&amp;B37)</f>
        <v/>
      </c>
    </row>
    <row r="38" customFormat="false" ht="15" hidden="false" customHeight="false" outlineLevel="0" collapsed="false">
      <c r="F38" s="23" t="str">
        <f aca="false">IF(OR(A38="",B38=""),"",A38&amp;"|"&amp;B38)</f>
        <v/>
      </c>
    </row>
    <row r="39" customFormat="false" ht="15" hidden="false" customHeight="false" outlineLevel="0" collapsed="false">
      <c r="F39" s="23" t="str">
        <f aca="false">IF(OR(A39="",B39=""),"",A39&amp;"|"&amp;B39)</f>
        <v/>
      </c>
    </row>
    <row r="40" customFormat="false" ht="15" hidden="false" customHeight="false" outlineLevel="0" collapsed="false">
      <c r="F40" s="23" t="str">
        <f aca="false">IF(OR(A40="",B40=""),"",A40&amp;"|"&amp;B40)</f>
        <v/>
      </c>
    </row>
    <row r="41" customFormat="false" ht="15" hidden="false" customHeight="false" outlineLevel="0" collapsed="false">
      <c r="F41" s="23" t="str">
        <f aca="false">IF(OR(A41="",B41=""),"",A41&amp;"|"&amp;B41)</f>
        <v/>
      </c>
    </row>
    <row r="42" customFormat="false" ht="15" hidden="false" customHeight="false" outlineLevel="0" collapsed="false">
      <c r="F42" s="23" t="str">
        <f aca="false">IF(OR(A42="",B42=""),"",A42&amp;"|"&amp;B42)</f>
        <v/>
      </c>
    </row>
    <row r="43" customFormat="false" ht="15" hidden="false" customHeight="false" outlineLevel="0" collapsed="false">
      <c r="F43" s="23" t="str">
        <f aca="false">IF(OR(A43="",B43=""),"",A43&amp;"|"&amp;B43)</f>
        <v/>
      </c>
    </row>
    <row r="44" customFormat="false" ht="15" hidden="false" customHeight="false" outlineLevel="0" collapsed="false">
      <c r="F44" s="23" t="str">
        <f aca="false">IF(OR(A44="",B44=""),"",A44&amp;"|"&amp;B44)</f>
        <v/>
      </c>
    </row>
    <row r="45" customFormat="false" ht="15" hidden="false" customHeight="false" outlineLevel="0" collapsed="false">
      <c r="F45" s="23" t="str">
        <f aca="false">IF(OR(A45="",B45=""),"",A45&amp;"|"&amp;B45)</f>
        <v/>
      </c>
    </row>
    <row r="46" customFormat="false" ht="15" hidden="false" customHeight="false" outlineLevel="0" collapsed="false">
      <c r="F46" s="23" t="str">
        <f aca="false">IF(OR(A46="",B46=""),"",A46&amp;"|"&amp;B46)</f>
        <v/>
      </c>
    </row>
    <row r="47" customFormat="false" ht="15" hidden="false" customHeight="false" outlineLevel="0" collapsed="false">
      <c r="F47" s="23" t="str">
        <f aca="false">IF(OR(A47="",B47=""),"",A47&amp;"|"&amp;B47)</f>
        <v/>
      </c>
    </row>
    <row r="48" customFormat="false" ht="15" hidden="false" customHeight="false" outlineLevel="0" collapsed="false">
      <c r="F48" s="23" t="str">
        <f aca="false">IF(OR(A48="",B48=""),"",A48&amp;"|"&amp;B48)</f>
        <v/>
      </c>
    </row>
    <row r="49" customFormat="false" ht="15" hidden="false" customHeight="false" outlineLevel="0" collapsed="false">
      <c r="F49" s="23" t="str">
        <f aca="false">IF(OR(A49="",B49=""),"",A49&amp;"|"&amp;B49)</f>
        <v/>
      </c>
    </row>
    <row r="50" customFormat="false" ht="15" hidden="false" customHeight="false" outlineLevel="0" collapsed="false">
      <c r="F50" s="23" t="str">
        <f aca="false">IF(OR(A50="",B50=""),"",A50&amp;"|"&amp;B50)</f>
        <v/>
      </c>
    </row>
    <row r="51" customFormat="false" ht="15" hidden="false" customHeight="false" outlineLevel="0" collapsed="false">
      <c r="F51" s="23" t="str">
        <f aca="false">IF(OR(A51="",B51=""),"",A51&amp;"|"&amp;B51)</f>
        <v/>
      </c>
    </row>
    <row r="52" customFormat="false" ht="15" hidden="false" customHeight="false" outlineLevel="0" collapsed="false">
      <c r="F52" s="23" t="str">
        <f aca="false">IF(OR(A52="",B52=""),"",A52&amp;"|"&amp;B52)</f>
        <v/>
      </c>
    </row>
    <row r="53" customFormat="false" ht="15" hidden="false" customHeight="false" outlineLevel="0" collapsed="false">
      <c r="F53" s="23" t="str">
        <f aca="false">IF(OR(A53="",B53=""),"",A53&amp;"|"&amp;B53)</f>
        <v/>
      </c>
    </row>
    <row r="54" customFormat="false" ht="15" hidden="false" customHeight="false" outlineLevel="0" collapsed="false">
      <c r="F54" s="23" t="str">
        <f aca="false">IF(OR(A54="",B54=""),"",A54&amp;"|"&amp;B54)</f>
        <v/>
      </c>
    </row>
    <row r="55" customFormat="false" ht="15" hidden="false" customHeight="false" outlineLevel="0" collapsed="false">
      <c r="F55" s="23" t="str">
        <f aca="false">IF(OR(A55="",B55=""),"",A55&amp;"|"&amp;B55)</f>
        <v/>
      </c>
    </row>
    <row r="56" customFormat="false" ht="15" hidden="false" customHeight="false" outlineLevel="0" collapsed="false">
      <c r="F56" s="23" t="str">
        <f aca="false">IF(OR(A56="",B56=""),"",A56&amp;"|"&amp;B56)</f>
        <v/>
      </c>
    </row>
    <row r="57" customFormat="false" ht="15" hidden="false" customHeight="false" outlineLevel="0" collapsed="false">
      <c r="F57" s="23" t="str">
        <f aca="false">IF(OR(A57="",B57=""),"",A57&amp;"|"&amp;B57)</f>
        <v/>
      </c>
    </row>
    <row r="58" customFormat="false" ht="15" hidden="false" customHeight="false" outlineLevel="0" collapsed="false">
      <c r="F58" s="23" t="str">
        <f aca="false">IF(OR(A58="",B58=""),"",A58&amp;"|"&amp;B58)</f>
        <v/>
      </c>
    </row>
    <row r="59" customFormat="false" ht="15" hidden="false" customHeight="false" outlineLevel="0" collapsed="false">
      <c r="F59" s="23" t="str">
        <f aca="false">IF(OR(A59="",B59=""),"",A59&amp;"|"&amp;B59)</f>
        <v/>
      </c>
    </row>
    <row r="60" customFormat="false" ht="15" hidden="false" customHeight="false" outlineLevel="0" collapsed="false">
      <c r="F60" s="23" t="str">
        <f aca="false">IF(OR(A60="",B60=""),"",A60&amp;"|"&amp;B60)</f>
        <v/>
      </c>
    </row>
    <row r="61" customFormat="false" ht="15" hidden="false" customHeight="false" outlineLevel="0" collapsed="false">
      <c r="F61" s="23" t="str">
        <f aca="false">IF(OR(A61="",B61=""),"",A61&amp;"|"&amp;B61)</f>
        <v/>
      </c>
    </row>
    <row r="62" customFormat="false" ht="15" hidden="false" customHeight="false" outlineLevel="0" collapsed="false">
      <c r="F62" s="23" t="str">
        <f aca="false">IF(OR(A62="",B62=""),"",A62&amp;"|"&amp;B62)</f>
        <v/>
      </c>
    </row>
    <row r="63" customFormat="false" ht="15" hidden="false" customHeight="false" outlineLevel="0" collapsed="false">
      <c r="F63" s="23" t="str">
        <f aca="false">IF(OR(A63="",B63=""),"",A63&amp;"|"&amp;B63)</f>
        <v/>
      </c>
    </row>
    <row r="64" customFormat="false" ht="15" hidden="false" customHeight="false" outlineLevel="0" collapsed="false">
      <c r="F64" s="23" t="str">
        <f aca="false">IF(OR(A64="",B64=""),"",A64&amp;"|"&amp;B64)</f>
        <v/>
      </c>
    </row>
    <row r="65" customFormat="false" ht="15" hidden="false" customHeight="false" outlineLevel="0" collapsed="false">
      <c r="F65" s="23" t="str">
        <f aca="false">IF(OR(A65="",B65=""),"",A65&amp;"|"&amp;B65)</f>
        <v/>
      </c>
    </row>
    <row r="66" customFormat="false" ht="15" hidden="false" customHeight="false" outlineLevel="0" collapsed="false">
      <c r="F66" s="23" t="str">
        <f aca="false">IF(OR(A66="",B66=""),"",A66&amp;"|"&amp;B66)</f>
        <v/>
      </c>
    </row>
    <row r="67" customFormat="false" ht="15" hidden="false" customHeight="false" outlineLevel="0" collapsed="false">
      <c r="F67" s="23" t="str">
        <f aca="false">IF(OR(A67="",B67=""),"",A67&amp;"|"&amp;B67)</f>
        <v/>
      </c>
    </row>
    <row r="68" customFormat="false" ht="15" hidden="false" customHeight="false" outlineLevel="0" collapsed="false">
      <c r="F68" s="23" t="str">
        <f aca="false">IF(OR(A68="",B68=""),"",A68&amp;"|"&amp;B68)</f>
        <v/>
      </c>
    </row>
    <row r="69" customFormat="false" ht="15" hidden="false" customHeight="false" outlineLevel="0" collapsed="false">
      <c r="F69" s="23" t="str">
        <f aca="false">IF(OR(A69="",B69=""),"",A69&amp;"|"&amp;B69)</f>
        <v/>
      </c>
    </row>
    <row r="70" customFormat="false" ht="15" hidden="false" customHeight="false" outlineLevel="0" collapsed="false">
      <c r="F70" s="23" t="str">
        <f aca="false">IF(OR(A70="",B70=""),"",A70&amp;"|"&amp;B70)</f>
        <v/>
      </c>
    </row>
    <row r="71" customFormat="false" ht="15" hidden="false" customHeight="false" outlineLevel="0" collapsed="false">
      <c r="F71" s="23" t="str">
        <f aca="false">IF(OR(A71="",B71=""),"",A71&amp;"|"&amp;B71)</f>
        <v/>
      </c>
    </row>
    <row r="72" customFormat="false" ht="15" hidden="false" customHeight="false" outlineLevel="0" collapsed="false">
      <c r="F72" s="23" t="str">
        <f aca="false">IF(OR(A72="",B72=""),"",A72&amp;"|"&amp;B72)</f>
        <v/>
      </c>
    </row>
    <row r="73" customFormat="false" ht="15" hidden="false" customHeight="false" outlineLevel="0" collapsed="false">
      <c r="F73" s="23" t="str">
        <f aca="false">IF(OR(A73="",B73=""),"",A73&amp;"|"&amp;B73)</f>
        <v/>
      </c>
    </row>
    <row r="74" customFormat="false" ht="15" hidden="false" customHeight="false" outlineLevel="0" collapsed="false">
      <c r="F74" s="23" t="str">
        <f aca="false">IF(OR(A74="",B74=""),"",A74&amp;"|"&amp;B74)</f>
        <v/>
      </c>
    </row>
    <row r="75" customFormat="false" ht="15" hidden="false" customHeight="false" outlineLevel="0" collapsed="false">
      <c r="F75" s="23" t="str">
        <f aca="false">IF(OR(A75="",B75=""),"",A75&amp;"|"&amp;B75)</f>
        <v/>
      </c>
    </row>
    <row r="76" customFormat="false" ht="15" hidden="false" customHeight="false" outlineLevel="0" collapsed="false">
      <c r="F76" s="23" t="str">
        <f aca="false">IF(OR(A76="",B76=""),"",A76&amp;"|"&amp;B76)</f>
        <v/>
      </c>
    </row>
    <row r="77" customFormat="false" ht="15" hidden="false" customHeight="false" outlineLevel="0" collapsed="false">
      <c r="F77" s="23" t="str">
        <f aca="false">IF(OR(A77="",B77=""),"",A77&amp;"|"&amp;B77)</f>
        <v/>
      </c>
    </row>
    <row r="78" customFormat="false" ht="15" hidden="false" customHeight="false" outlineLevel="0" collapsed="false">
      <c r="F78" s="23" t="str">
        <f aca="false">IF(OR(A78="",B78=""),"",A78&amp;"|"&amp;B78)</f>
        <v/>
      </c>
    </row>
    <row r="79" customFormat="false" ht="15" hidden="false" customHeight="false" outlineLevel="0" collapsed="false">
      <c r="F79" s="23" t="str">
        <f aca="false">IF(OR(A79="",B79=""),"",A79&amp;"|"&amp;B79)</f>
        <v/>
      </c>
    </row>
    <row r="80" customFormat="false" ht="15" hidden="false" customHeight="false" outlineLevel="0" collapsed="false">
      <c r="F80" s="23" t="str">
        <f aca="false">IF(OR(A80="",B80=""),"",A80&amp;"|"&amp;B80)</f>
        <v/>
      </c>
    </row>
    <row r="81" customFormat="false" ht="15" hidden="false" customHeight="false" outlineLevel="0" collapsed="false">
      <c r="F81" s="23" t="str">
        <f aca="false">IF(OR(A81="",B81=""),"",A81&amp;"|"&amp;B81)</f>
        <v/>
      </c>
    </row>
    <row r="82" customFormat="false" ht="15" hidden="false" customHeight="false" outlineLevel="0" collapsed="false">
      <c r="F82" s="23" t="str">
        <f aca="false">IF(OR(A82="",B82=""),"",A82&amp;"|"&amp;B82)</f>
        <v/>
      </c>
    </row>
    <row r="83" customFormat="false" ht="15" hidden="false" customHeight="false" outlineLevel="0" collapsed="false">
      <c r="F83" s="23" t="str">
        <f aca="false">IF(OR(A83="",B83=""),"",A83&amp;"|"&amp;B83)</f>
        <v/>
      </c>
    </row>
    <row r="84" customFormat="false" ht="15" hidden="false" customHeight="false" outlineLevel="0" collapsed="false">
      <c r="F84" s="23" t="str">
        <f aca="false">IF(OR(A84="",B84=""),"",A84&amp;"|"&amp;B84)</f>
        <v/>
      </c>
    </row>
    <row r="85" customFormat="false" ht="15" hidden="false" customHeight="false" outlineLevel="0" collapsed="false">
      <c r="F85" s="23" t="str">
        <f aca="false">IF(OR(A85="",B85=""),"",A85&amp;"|"&amp;B85)</f>
        <v/>
      </c>
    </row>
    <row r="86" customFormat="false" ht="15" hidden="false" customHeight="false" outlineLevel="0" collapsed="false">
      <c r="F86" s="23" t="str">
        <f aca="false">IF(OR(A86="",B86=""),"",A86&amp;"|"&amp;B86)</f>
        <v/>
      </c>
    </row>
    <row r="87" customFormat="false" ht="15" hidden="false" customHeight="false" outlineLevel="0" collapsed="false">
      <c r="F87" s="23" t="str">
        <f aca="false">IF(OR(A87="",B87=""),"",A87&amp;"|"&amp;B87)</f>
        <v/>
      </c>
    </row>
    <row r="88" customFormat="false" ht="15" hidden="false" customHeight="false" outlineLevel="0" collapsed="false">
      <c r="F88" s="23" t="str">
        <f aca="false">IF(OR(A88="",B88=""),"",A88&amp;"|"&amp;B88)</f>
        <v/>
      </c>
    </row>
    <row r="89" customFormat="false" ht="15" hidden="false" customHeight="false" outlineLevel="0" collapsed="false">
      <c r="F89" s="23" t="str">
        <f aca="false">IF(OR(A89="",B89=""),"",A89&amp;"|"&amp;B89)</f>
        <v/>
      </c>
    </row>
    <row r="90" customFormat="false" ht="15" hidden="false" customHeight="false" outlineLevel="0" collapsed="false">
      <c r="F90" s="23" t="str">
        <f aca="false">IF(OR(A90="",B90=""),"",A90&amp;"|"&amp;B90)</f>
        <v/>
      </c>
    </row>
    <row r="91" customFormat="false" ht="15" hidden="false" customHeight="false" outlineLevel="0" collapsed="false">
      <c r="F91" s="23" t="str">
        <f aca="false">IF(OR(A91="",B91=""),"",A91&amp;"|"&amp;B91)</f>
        <v/>
      </c>
    </row>
    <row r="92" customFormat="false" ht="15" hidden="false" customHeight="false" outlineLevel="0" collapsed="false">
      <c r="F92" s="23" t="str">
        <f aca="false">IF(OR(A92="",B92=""),"",A92&amp;"|"&amp;B92)</f>
        <v/>
      </c>
    </row>
    <row r="93" customFormat="false" ht="15" hidden="false" customHeight="false" outlineLevel="0" collapsed="false">
      <c r="F93" s="23" t="str">
        <f aca="false">IF(OR(A93="",B93=""),"",A93&amp;"|"&amp;B93)</f>
        <v/>
      </c>
    </row>
    <row r="94" customFormat="false" ht="15" hidden="false" customHeight="false" outlineLevel="0" collapsed="false">
      <c r="F94" s="23" t="str">
        <f aca="false">IF(OR(A94="",B94=""),"",A94&amp;"|"&amp;B94)</f>
        <v/>
      </c>
    </row>
    <row r="95" customFormat="false" ht="15" hidden="false" customHeight="false" outlineLevel="0" collapsed="false">
      <c r="F95" s="23" t="str">
        <f aca="false">IF(OR(A95="",B95=""),"",A95&amp;"|"&amp;B95)</f>
        <v/>
      </c>
    </row>
    <row r="96" customFormat="false" ht="15" hidden="false" customHeight="false" outlineLevel="0" collapsed="false">
      <c r="F96" s="23" t="str">
        <f aca="false">IF(OR(A96="",B96=""),"",A96&amp;"|"&amp;B96)</f>
        <v/>
      </c>
    </row>
    <row r="97" customFormat="false" ht="15" hidden="false" customHeight="false" outlineLevel="0" collapsed="false">
      <c r="F97" s="23" t="str">
        <f aca="false">IF(OR(A97="",B97=""),"",A97&amp;"|"&amp;B97)</f>
        <v/>
      </c>
    </row>
    <row r="98" customFormat="false" ht="15" hidden="false" customHeight="false" outlineLevel="0" collapsed="false">
      <c r="F98" s="23" t="str">
        <f aca="false">IF(OR(A98="",B98=""),"",A98&amp;"|"&amp;B98)</f>
        <v/>
      </c>
    </row>
    <row r="99" customFormat="false" ht="15" hidden="false" customHeight="false" outlineLevel="0" collapsed="false">
      <c r="F99" s="23" t="str">
        <f aca="false">IF(OR(A99="",B99=""),"",A99&amp;"|"&amp;B99)</f>
        <v/>
      </c>
    </row>
    <row r="100" customFormat="false" ht="15" hidden="false" customHeight="false" outlineLevel="0" collapsed="false">
      <c r="F100" s="23" t="str">
        <f aca="false">IF(OR(A100="",B100=""),"",A100&amp;"|"&amp;B100)</f>
        <v/>
      </c>
    </row>
    <row r="101" customFormat="false" ht="15" hidden="false" customHeight="false" outlineLevel="0" collapsed="false">
      <c r="F101" s="23" t="str">
        <f aca="false">IF(OR(A101="",B101=""),"",A101&amp;"|"&amp;B101)</f>
        <v/>
      </c>
    </row>
    <row r="102" customFormat="false" ht="15" hidden="false" customHeight="false" outlineLevel="0" collapsed="false">
      <c r="F102" s="23" t="str">
        <f aca="false">IF(OR(A102="",B102=""),"",A102&amp;"|"&amp;B102)</f>
        <v/>
      </c>
    </row>
    <row r="103" customFormat="false" ht="15" hidden="false" customHeight="false" outlineLevel="0" collapsed="false">
      <c r="F103" s="23" t="str">
        <f aca="false">IF(OR(A103="",B103=""),"",A103&amp;"|"&amp;B103)</f>
        <v/>
      </c>
    </row>
    <row r="104" customFormat="false" ht="15" hidden="false" customHeight="false" outlineLevel="0" collapsed="false">
      <c r="F104" s="23" t="str">
        <f aca="false">IF(OR(A104="",B104=""),"",A104&amp;"|"&amp;B104)</f>
        <v/>
      </c>
    </row>
    <row r="105" customFormat="false" ht="15" hidden="false" customHeight="false" outlineLevel="0" collapsed="false">
      <c r="F105" s="23" t="str">
        <f aca="false">IF(OR(A105="",B105=""),"",A105&amp;"|"&amp;B105)</f>
        <v/>
      </c>
    </row>
    <row r="106" customFormat="false" ht="15" hidden="false" customHeight="false" outlineLevel="0" collapsed="false">
      <c r="F106" s="23" t="str">
        <f aca="false">IF(OR(A106="",B106=""),"",A106&amp;"|"&amp;B106)</f>
        <v/>
      </c>
    </row>
    <row r="107" customFormat="false" ht="15" hidden="false" customHeight="false" outlineLevel="0" collapsed="false">
      <c r="F107" s="23" t="str">
        <f aca="false">IF(OR(A107="",B107=""),"",A107&amp;"|"&amp;B107)</f>
        <v/>
      </c>
    </row>
    <row r="108" customFormat="false" ht="15" hidden="false" customHeight="false" outlineLevel="0" collapsed="false">
      <c r="F108" s="23" t="str">
        <f aca="false">IF(OR(A108="",B108=""),"",A108&amp;"|"&amp;B108)</f>
        <v/>
      </c>
    </row>
    <row r="109" customFormat="false" ht="15" hidden="false" customHeight="false" outlineLevel="0" collapsed="false">
      <c r="F109" s="23" t="str">
        <f aca="false">IF(OR(A109="",B109=""),"",A109&amp;"|"&amp;B109)</f>
        <v/>
      </c>
    </row>
    <row r="110" customFormat="false" ht="15" hidden="false" customHeight="false" outlineLevel="0" collapsed="false">
      <c r="F110" s="23" t="str">
        <f aca="false">IF(OR(A110="",B110=""),"",A110&amp;"|"&amp;B110)</f>
        <v/>
      </c>
    </row>
    <row r="111" customFormat="false" ht="15" hidden="false" customHeight="false" outlineLevel="0" collapsed="false">
      <c r="F111" s="23" t="str">
        <f aca="false">IF(OR(A111="",B111=""),"",A111&amp;"|"&amp;B111)</f>
        <v/>
      </c>
    </row>
    <row r="112" customFormat="false" ht="15" hidden="false" customHeight="false" outlineLevel="0" collapsed="false">
      <c r="F112" s="23" t="str">
        <f aca="false">IF(OR(A112="",B112=""),"",A112&amp;"|"&amp;B112)</f>
        <v/>
      </c>
    </row>
    <row r="113" customFormat="false" ht="15" hidden="false" customHeight="false" outlineLevel="0" collapsed="false">
      <c r="F113" s="23" t="str">
        <f aca="false">IF(OR(A113="",B113=""),"",A113&amp;"|"&amp;B113)</f>
        <v/>
      </c>
    </row>
    <row r="114" customFormat="false" ht="15" hidden="false" customHeight="false" outlineLevel="0" collapsed="false">
      <c r="F114" s="23" t="str">
        <f aca="false">IF(OR(A114="",B114=""),"",A114&amp;"|"&amp;B114)</f>
        <v/>
      </c>
    </row>
    <row r="115" customFormat="false" ht="15" hidden="false" customHeight="false" outlineLevel="0" collapsed="false">
      <c r="F115" s="23" t="str">
        <f aca="false">IF(OR(A115="",B115=""),"",A115&amp;"|"&amp;B115)</f>
        <v/>
      </c>
    </row>
    <row r="116" customFormat="false" ht="15" hidden="false" customHeight="false" outlineLevel="0" collapsed="false">
      <c r="F116" s="23" t="str">
        <f aca="false">IF(OR(A116="",B116=""),"",A116&amp;"|"&amp;B116)</f>
        <v/>
      </c>
    </row>
    <row r="117" customFormat="false" ht="15" hidden="false" customHeight="false" outlineLevel="0" collapsed="false">
      <c r="F117" s="23" t="str">
        <f aca="false">IF(OR(A117="",B117=""),"",A117&amp;"|"&amp;B117)</f>
        <v/>
      </c>
    </row>
    <row r="118" customFormat="false" ht="15" hidden="false" customHeight="false" outlineLevel="0" collapsed="false">
      <c r="F118" s="23" t="str">
        <f aca="false">IF(OR(A118="",B118=""),"",A118&amp;"|"&amp;B118)</f>
        <v/>
      </c>
    </row>
    <row r="119" customFormat="false" ht="15" hidden="false" customHeight="false" outlineLevel="0" collapsed="false">
      <c r="F119" s="23" t="str">
        <f aca="false">IF(OR(A119="",B119=""),"",A119&amp;"|"&amp;B119)</f>
        <v/>
      </c>
    </row>
    <row r="120" customFormat="false" ht="15" hidden="false" customHeight="false" outlineLevel="0" collapsed="false">
      <c r="F120" s="23" t="str">
        <f aca="false">IF(OR(A120="",B120=""),"",A120&amp;"|"&amp;B120)</f>
        <v/>
      </c>
    </row>
    <row r="121" customFormat="false" ht="15" hidden="false" customHeight="false" outlineLevel="0" collapsed="false">
      <c r="F121" s="23" t="str">
        <f aca="false">IF(OR(A121="",B121=""),"",A121&amp;"|"&amp;B121)</f>
        <v/>
      </c>
    </row>
    <row r="122" customFormat="false" ht="15" hidden="false" customHeight="false" outlineLevel="0" collapsed="false">
      <c r="F122" s="23" t="str">
        <f aca="false">IF(OR(A122="",B122=""),"",A122&amp;"|"&amp;B122)</f>
        <v/>
      </c>
    </row>
    <row r="123" customFormat="false" ht="15" hidden="false" customHeight="false" outlineLevel="0" collapsed="false">
      <c r="F123" s="23" t="str">
        <f aca="false">IF(OR(A123="",B123=""),"",A123&amp;"|"&amp;B123)</f>
        <v/>
      </c>
    </row>
    <row r="124" customFormat="false" ht="15" hidden="false" customHeight="false" outlineLevel="0" collapsed="false">
      <c r="F124" s="23" t="str">
        <f aca="false">IF(OR(A124="",B124=""),"",A124&amp;"|"&amp;B124)</f>
        <v/>
      </c>
    </row>
    <row r="125" customFormat="false" ht="15" hidden="false" customHeight="false" outlineLevel="0" collapsed="false">
      <c r="F125" s="23" t="str">
        <f aca="false">IF(OR(A125="",B125=""),"",A125&amp;"|"&amp;B125)</f>
        <v/>
      </c>
    </row>
    <row r="126" customFormat="false" ht="15" hidden="false" customHeight="false" outlineLevel="0" collapsed="false">
      <c r="F126" s="23" t="str">
        <f aca="false">IF(OR(A126="",B126=""),"",A126&amp;"|"&amp;B126)</f>
        <v/>
      </c>
    </row>
    <row r="127" customFormat="false" ht="15" hidden="false" customHeight="false" outlineLevel="0" collapsed="false">
      <c r="F127" s="23" t="str">
        <f aca="false">IF(OR(A127="",B127=""),"",A127&amp;"|"&amp;B127)</f>
        <v/>
      </c>
    </row>
    <row r="128" customFormat="false" ht="15" hidden="false" customHeight="false" outlineLevel="0" collapsed="false">
      <c r="F128" s="23" t="str">
        <f aca="false">IF(OR(A128="",B128=""),"",A128&amp;"|"&amp;B128)</f>
        <v/>
      </c>
    </row>
    <row r="129" customFormat="false" ht="15" hidden="false" customHeight="false" outlineLevel="0" collapsed="false">
      <c r="F129" s="23" t="str">
        <f aca="false">IF(OR(A129="",B129=""),"",A129&amp;"|"&amp;B129)</f>
        <v/>
      </c>
    </row>
    <row r="130" customFormat="false" ht="15" hidden="false" customHeight="false" outlineLevel="0" collapsed="false">
      <c r="F130" s="23" t="str">
        <f aca="false">IF(OR(A130="",B130=""),"",A130&amp;"|"&amp;B130)</f>
        <v/>
      </c>
    </row>
    <row r="131" customFormat="false" ht="15" hidden="false" customHeight="false" outlineLevel="0" collapsed="false">
      <c r="F131" s="23" t="str">
        <f aca="false">IF(OR(A131="",B131=""),"",A131&amp;"|"&amp;B131)</f>
        <v/>
      </c>
    </row>
    <row r="132" customFormat="false" ht="15" hidden="false" customHeight="false" outlineLevel="0" collapsed="false">
      <c r="F132" s="23" t="str">
        <f aca="false">IF(OR(A132="",B132=""),"",A132&amp;"|"&amp;B132)</f>
        <v/>
      </c>
    </row>
    <row r="133" customFormat="false" ht="15" hidden="false" customHeight="false" outlineLevel="0" collapsed="false">
      <c r="F133" s="23" t="str">
        <f aca="false">IF(OR(A133="",B133=""),"",A133&amp;"|"&amp;B133)</f>
        <v/>
      </c>
    </row>
    <row r="134" customFormat="false" ht="15" hidden="false" customHeight="false" outlineLevel="0" collapsed="false">
      <c r="F134" s="23" t="str">
        <f aca="false">IF(OR(A134="",B134=""),"",A134&amp;"|"&amp;B134)</f>
        <v/>
      </c>
    </row>
    <row r="135" customFormat="false" ht="15" hidden="false" customHeight="false" outlineLevel="0" collapsed="false">
      <c r="F135" s="23" t="str">
        <f aca="false">IF(OR(A135="",B135=""),"",A135&amp;"|"&amp;B135)</f>
        <v/>
      </c>
    </row>
    <row r="136" customFormat="false" ht="15" hidden="false" customHeight="false" outlineLevel="0" collapsed="false">
      <c r="F136" s="23" t="str">
        <f aca="false">IF(OR(A136="",B136=""),"",A136&amp;"|"&amp;B136)</f>
        <v/>
      </c>
    </row>
    <row r="137" customFormat="false" ht="15" hidden="false" customHeight="false" outlineLevel="0" collapsed="false">
      <c r="F137" s="23" t="str">
        <f aca="false">IF(OR(A137="",B137=""),"",A137&amp;"|"&amp;B137)</f>
        <v/>
      </c>
    </row>
    <row r="138" customFormat="false" ht="15" hidden="false" customHeight="false" outlineLevel="0" collapsed="false">
      <c r="F138" s="23" t="str">
        <f aca="false">IF(OR(A138="",B138=""),"",A138&amp;"|"&amp;B138)</f>
        <v/>
      </c>
    </row>
    <row r="139" customFormat="false" ht="15" hidden="false" customHeight="false" outlineLevel="0" collapsed="false">
      <c r="F139" s="23" t="str">
        <f aca="false">IF(OR(A139="",B139=""),"",A139&amp;"|"&amp;B139)</f>
        <v/>
      </c>
    </row>
    <row r="140" customFormat="false" ht="15" hidden="false" customHeight="false" outlineLevel="0" collapsed="false">
      <c r="F140" s="23" t="str">
        <f aca="false">IF(OR(A140="",B140=""),"",A140&amp;"|"&amp;B140)</f>
        <v/>
      </c>
    </row>
    <row r="141" customFormat="false" ht="15" hidden="false" customHeight="false" outlineLevel="0" collapsed="false">
      <c r="F141" s="23" t="str">
        <f aca="false">IF(OR(A141="",B141=""),"",A141&amp;"|"&amp;B141)</f>
        <v/>
      </c>
    </row>
    <row r="142" customFormat="false" ht="15" hidden="false" customHeight="false" outlineLevel="0" collapsed="false">
      <c r="F142" s="23" t="str">
        <f aca="false">IF(OR(A142="",B142=""),"",A142&amp;"|"&amp;B142)</f>
        <v/>
      </c>
    </row>
    <row r="143" customFormat="false" ht="15" hidden="false" customHeight="false" outlineLevel="0" collapsed="false">
      <c r="F143" s="23" t="str">
        <f aca="false">IF(OR(A143="",B143=""),"",A143&amp;"|"&amp;B143)</f>
        <v/>
      </c>
    </row>
    <row r="144" customFormat="false" ht="15" hidden="false" customHeight="false" outlineLevel="0" collapsed="false">
      <c r="F144" s="23" t="str">
        <f aca="false">IF(OR(A144="",B144=""),"",A144&amp;"|"&amp;B144)</f>
        <v/>
      </c>
    </row>
    <row r="145" customFormat="false" ht="15" hidden="false" customHeight="false" outlineLevel="0" collapsed="false">
      <c r="F145" s="23" t="str">
        <f aca="false">IF(OR(A145="",B145=""),"",A145&amp;"|"&amp;B145)</f>
        <v/>
      </c>
    </row>
    <row r="146" customFormat="false" ht="15" hidden="false" customHeight="false" outlineLevel="0" collapsed="false">
      <c r="F146" s="23" t="str">
        <f aca="false">IF(OR(A146="",B146=""),"",A146&amp;"|"&amp;B146)</f>
        <v/>
      </c>
    </row>
    <row r="147" customFormat="false" ht="15" hidden="false" customHeight="false" outlineLevel="0" collapsed="false">
      <c r="F147" s="23" t="str">
        <f aca="false">IF(OR(A147="",B147=""),"",A147&amp;"|"&amp;B147)</f>
        <v/>
      </c>
    </row>
    <row r="148" customFormat="false" ht="15" hidden="false" customHeight="false" outlineLevel="0" collapsed="false">
      <c r="F148" s="23" t="str">
        <f aca="false">IF(OR(A148="",B148=""),"",A148&amp;"|"&amp;B148)</f>
        <v/>
      </c>
    </row>
    <row r="149" customFormat="false" ht="15" hidden="false" customHeight="false" outlineLevel="0" collapsed="false">
      <c r="F149" s="23" t="str">
        <f aca="false">IF(OR(A149="",B149=""),"",A149&amp;"|"&amp;B149)</f>
        <v/>
      </c>
    </row>
    <row r="150" customFormat="false" ht="15" hidden="false" customHeight="false" outlineLevel="0" collapsed="false">
      <c r="F150" s="23" t="str">
        <f aca="false">IF(OR(A150="",B150=""),"",A150&amp;"|"&amp;B150)</f>
        <v/>
      </c>
    </row>
    <row r="151" customFormat="false" ht="15" hidden="false" customHeight="false" outlineLevel="0" collapsed="false">
      <c r="F151" s="23" t="str">
        <f aca="false">IF(OR(A151="",B151=""),"",A151&amp;"|"&amp;B151)</f>
        <v/>
      </c>
    </row>
    <row r="152" customFormat="false" ht="15" hidden="false" customHeight="false" outlineLevel="0" collapsed="false">
      <c r="F152" s="23" t="str">
        <f aca="false">IF(OR(A152="",B152=""),"",A152&amp;"|"&amp;B152)</f>
        <v/>
      </c>
    </row>
    <row r="153" customFormat="false" ht="15" hidden="false" customHeight="false" outlineLevel="0" collapsed="false">
      <c r="F153" s="23" t="str">
        <f aca="false">IF(OR(A153="",B153=""),"",A153&amp;"|"&amp;B153)</f>
        <v/>
      </c>
    </row>
    <row r="154" customFormat="false" ht="15" hidden="false" customHeight="false" outlineLevel="0" collapsed="false">
      <c r="F154" s="23" t="str">
        <f aca="false">IF(OR(A154="",B154=""),"",A154&amp;"|"&amp;B154)</f>
        <v/>
      </c>
    </row>
    <row r="155" customFormat="false" ht="15" hidden="false" customHeight="false" outlineLevel="0" collapsed="false">
      <c r="F155" s="23" t="str">
        <f aca="false">IF(OR(A155="",B155=""),"",A155&amp;"|"&amp;B155)</f>
        <v/>
      </c>
    </row>
    <row r="156" customFormat="false" ht="15" hidden="false" customHeight="false" outlineLevel="0" collapsed="false">
      <c r="F156" s="23" t="str">
        <f aca="false">IF(OR(A156="",B156=""),"",A156&amp;"|"&amp;B156)</f>
        <v/>
      </c>
    </row>
    <row r="157" customFormat="false" ht="15" hidden="false" customHeight="false" outlineLevel="0" collapsed="false">
      <c r="F157" s="23" t="str">
        <f aca="false">IF(OR(A157="",B157=""),"",A157&amp;"|"&amp;B157)</f>
        <v/>
      </c>
    </row>
    <row r="158" customFormat="false" ht="15" hidden="false" customHeight="false" outlineLevel="0" collapsed="false">
      <c r="F158" s="23" t="str">
        <f aca="false">IF(OR(A158="",B158=""),"",A158&amp;"|"&amp;B158)</f>
        <v/>
      </c>
    </row>
    <row r="159" customFormat="false" ht="15" hidden="false" customHeight="false" outlineLevel="0" collapsed="false">
      <c r="F159" s="23" t="str">
        <f aca="false">IF(OR(A159="",B159=""),"",A159&amp;"|"&amp;B159)</f>
        <v/>
      </c>
    </row>
    <row r="160" customFormat="false" ht="15" hidden="false" customHeight="false" outlineLevel="0" collapsed="false">
      <c r="F160" s="23" t="str">
        <f aca="false">IF(OR(A160="",B160=""),"",A160&amp;"|"&amp;B160)</f>
        <v/>
      </c>
    </row>
    <row r="161" customFormat="false" ht="15" hidden="false" customHeight="false" outlineLevel="0" collapsed="false">
      <c r="F161" s="23" t="str">
        <f aca="false">IF(OR(A161="",B161=""),"",A161&amp;"|"&amp;B161)</f>
        <v/>
      </c>
    </row>
    <row r="162" customFormat="false" ht="15" hidden="false" customHeight="false" outlineLevel="0" collapsed="false">
      <c r="F162" s="23" t="str">
        <f aca="false">IF(OR(A162="",B162=""),"",A162&amp;"|"&amp;B162)</f>
        <v/>
      </c>
    </row>
    <row r="163" customFormat="false" ht="15" hidden="false" customHeight="false" outlineLevel="0" collapsed="false">
      <c r="F163" s="23" t="str">
        <f aca="false">IF(OR(A163="",B163=""),"",A163&amp;"|"&amp;B163)</f>
        <v/>
      </c>
    </row>
    <row r="164" customFormat="false" ht="15" hidden="false" customHeight="false" outlineLevel="0" collapsed="false">
      <c r="F164" s="23" t="str">
        <f aca="false">IF(OR(A164="",B164=""),"",A164&amp;"|"&amp;B164)</f>
        <v/>
      </c>
    </row>
    <row r="165" customFormat="false" ht="15" hidden="false" customHeight="false" outlineLevel="0" collapsed="false">
      <c r="F165" s="23" t="str">
        <f aca="false">IF(OR(A165="",B165=""),"",A165&amp;"|"&amp;B165)</f>
        <v/>
      </c>
    </row>
    <row r="166" customFormat="false" ht="15" hidden="false" customHeight="false" outlineLevel="0" collapsed="false">
      <c r="F166" s="23" t="str">
        <f aca="false">IF(OR(A166="",B166=""),"",A166&amp;"|"&amp;B166)</f>
        <v/>
      </c>
    </row>
    <row r="167" customFormat="false" ht="15" hidden="false" customHeight="false" outlineLevel="0" collapsed="false">
      <c r="F167" s="23" t="str">
        <f aca="false">IF(OR(A167="",B167=""),"",A167&amp;"|"&amp;B167)</f>
        <v/>
      </c>
    </row>
    <row r="168" customFormat="false" ht="15" hidden="false" customHeight="false" outlineLevel="0" collapsed="false">
      <c r="F168" s="23" t="str">
        <f aca="false">IF(OR(A168="",B168=""),"",A168&amp;"|"&amp;B168)</f>
        <v/>
      </c>
    </row>
    <row r="169" customFormat="false" ht="15" hidden="false" customHeight="false" outlineLevel="0" collapsed="false">
      <c r="F169" s="23" t="str">
        <f aca="false">IF(OR(A169="",B169=""),"",A169&amp;"|"&amp;B169)</f>
        <v/>
      </c>
    </row>
    <row r="170" customFormat="false" ht="15" hidden="false" customHeight="false" outlineLevel="0" collapsed="false">
      <c r="F170" s="23" t="str">
        <f aca="false">IF(OR(A170="",B170=""),"",A170&amp;"|"&amp;B170)</f>
        <v/>
      </c>
    </row>
    <row r="171" customFormat="false" ht="15" hidden="false" customHeight="false" outlineLevel="0" collapsed="false">
      <c r="F171" s="23" t="str">
        <f aca="false">IF(OR(A171="",B171=""),"",A171&amp;"|"&amp;B171)</f>
        <v/>
      </c>
    </row>
    <row r="172" customFormat="false" ht="15" hidden="false" customHeight="false" outlineLevel="0" collapsed="false">
      <c r="F172" s="23" t="str">
        <f aca="false">IF(OR(A172="",B172=""),"",A172&amp;"|"&amp;B172)</f>
        <v/>
      </c>
    </row>
    <row r="173" customFormat="false" ht="15" hidden="false" customHeight="false" outlineLevel="0" collapsed="false">
      <c r="F173" s="23" t="str">
        <f aca="false">IF(OR(A173="",B173=""),"",A173&amp;"|"&amp;B173)</f>
        <v/>
      </c>
    </row>
    <row r="174" customFormat="false" ht="15" hidden="false" customHeight="false" outlineLevel="0" collapsed="false">
      <c r="F174" s="23" t="str">
        <f aca="false">IF(OR(A174="",B174=""),"",A174&amp;"|"&amp;B174)</f>
        <v/>
      </c>
    </row>
    <row r="175" customFormat="false" ht="15" hidden="false" customHeight="false" outlineLevel="0" collapsed="false">
      <c r="F175" s="23" t="str">
        <f aca="false">IF(OR(A175="",B175=""),"",A175&amp;"|"&amp;B175)</f>
        <v/>
      </c>
    </row>
    <row r="176" customFormat="false" ht="15" hidden="false" customHeight="false" outlineLevel="0" collapsed="false">
      <c r="F176" s="23" t="str">
        <f aca="false">IF(OR(A176="",B176=""),"",A176&amp;"|"&amp;B176)</f>
        <v/>
      </c>
    </row>
    <row r="177" customFormat="false" ht="15" hidden="false" customHeight="false" outlineLevel="0" collapsed="false">
      <c r="F177" s="23" t="str">
        <f aca="false">IF(OR(A177="",B177=""),"",A177&amp;"|"&amp;B177)</f>
        <v/>
      </c>
    </row>
    <row r="178" customFormat="false" ht="15" hidden="false" customHeight="false" outlineLevel="0" collapsed="false">
      <c r="F178" s="23" t="str">
        <f aca="false">IF(OR(A178="",B178=""),"",A178&amp;"|"&amp;B178)</f>
        <v/>
      </c>
    </row>
    <row r="179" customFormat="false" ht="15" hidden="false" customHeight="false" outlineLevel="0" collapsed="false">
      <c r="F179" s="23" t="str">
        <f aca="false">IF(OR(A179="",B179=""),"",A179&amp;"|"&amp;B179)</f>
        <v/>
      </c>
    </row>
    <row r="180" customFormat="false" ht="15" hidden="false" customHeight="false" outlineLevel="0" collapsed="false">
      <c r="F180" s="23" t="str">
        <f aca="false">IF(OR(A180="",B180=""),"",A180&amp;"|"&amp;B180)</f>
        <v/>
      </c>
    </row>
    <row r="181" customFormat="false" ht="15" hidden="false" customHeight="false" outlineLevel="0" collapsed="false">
      <c r="F181" s="23" t="str">
        <f aca="false">IF(OR(A181="",B181=""),"",A181&amp;"|"&amp;B181)</f>
        <v/>
      </c>
    </row>
    <row r="182" customFormat="false" ht="15" hidden="false" customHeight="false" outlineLevel="0" collapsed="false">
      <c r="F182" s="23" t="str">
        <f aca="false">IF(OR(A182="",B182=""),"",A182&amp;"|"&amp;B182)</f>
        <v/>
      </c>
    </row>
    <row r="183" customFormat="false" ht="15" hidden="false" customHeight="false" outlineLevel="0" collapsed="false">
      <c r="F183" s="23" t="str">
        <f aca="false">IF(OR(A183="",B183=""),"",A183&amp;"|"&amp;B183)</f>
        <v/>
      </c>
    </row>
    <row r="184" customFormat="false" ht="15" hidden="false" customHeight="false" outlineLevel="0" collapsed="false">
      <c r="F184" s="23" t="str">
        <f aca="false">IF(OR(A184="",B184=""),"",A184&amp;"|"&amp;B184)</f>
        <v/>
      </c>
    </row>
    <row r="185" customFormat="false" ht="15" hidden="false" customHeight="false" outlineLevel="0" collapsed="false">
      <c r="F185" s="23" t="str">
        <f aca="false">IF(OR(A185="",B185=""),"",A185&amp;"|"&amp;B185)</f>
        <v/>
      </c>
    </row>
    <row r="186" customFormat="false" ht="15" hidden="false" customHeight="false" outlineLevel="0" collapsed="false">
      <c r="F186" s="23" t="str">
        <f aca="false">IF(OR(A186="",B186=""),"",A186&amp;"|"&amp;B186)</f>
        <v/>
      </c>
    </row>
    <row r="187" customFormat="false" ht="15" hidden="false" customHeight="false" outlineLevel="0" collapsed="false">
      <c r="F187" s="23" t="str">
        <f aca="false">IF(OR(A187="",B187=""),"",A187&amp;"|"&amp;B187)</f>
        <v/>
      </c>
    </row>
    <row r="188" customFormat="false" ht="15" hidden="false" customHeight="false" outlineLevel="0" collapsed="false">
      <c r="F188" s="23" t="str">
        <f aca="false">IF(OR(A188="",B188=""),"",A188&amp;"|"&amp;B188)</f>
        <v/>
      </c>
    </row>
    <row r="189" customFormat="false" ht="15" hidden="false" customHeight="false" outlineLevel="0" collapsed="false">
      <c r="F189" s="23" t="str">
        <f aca="false">IF(OR(A189="",B189=""),"",A189&amp;"|"&amp;B189)</f>
        <v/>
      </c>
    </row>
    <row r="190" customFormat="false" ht="15" hidden="false" customHeight="false" outlineLevel="0" collapsed="false">
      <c r="F190" s="23" t="str">
        <f aca="false">IF(OR(A190="",B190=""),"",A190&amp;"|"&amp;B190)</f>
        <v/>
      </c>
    </row>
    <row r="191" customFormat="false" ht="15" hidden="false" customHeight="false" outlineLevel="0" collapsed="false">
      <c r="F191" s="23" t="str">
        <f aca="false">IF(OR(A191="",B191=""),"",A191&amp;"|"&amp;B191)</f>
        <v/>
      </c>
    </row>
    <row r="192" customFormat="false" ht="15" hidden="false" customHeight="false" outlineLevel="0" collapsed="false">
      <c r="F192" s="23" t="str">
        <f aca="false">IF(OR(A192="",B192=""),"",A192&amp;"|"&amp;B192)</f>
        <v/>
      </c>
    </row>
    <row r="193" customFormat="false" ht="15" hidden="false" customHeight="false" outlineLevel="0" collapsed="false">
      <c r="F193" s="23" t="str">
        <f aca="false">IF(OR(A193="",B193=""),"",A193&amp;"|"&amp;B193)</f>
        <v/>
      </c>
    </row>
    <row r="194" customFormat="false" ht="15" hidden="false" customHeight="false" outlineLevel="0" collapsed="false">
      <c r="F194" s="23" t="str">
        <f aca="false">IF(OR(A194="",B194=""),"",A194&amp;"|"&amp;B194)</f>
        <v/>
      </c>
    </row>
    <row r="195" customFormat="false" ht="15" hidden="false" customHeight="false" outlineLevel="0" collapsed="false">
      <c r="F195" s="23" t="str">
        <f aca="false">IF(OR(A195="",B195=""),"",A195&amp;"|"&amp;B195)</f>
        <v/>
      </c>
    </row>
    <row r="196" customFormat="false" ht="15" hidden="false" customHeight="false" outlineLevel="0" collapsed="false">
      <c r="F196" s="23" t="str">
        <f aca="false">IF(OR(A196="",B196=""),"",A196&amp;"|"&amp;B196)</f>
        <v/>
      </c>
    </row>
    <row r="197" customFormat="false" ht="15" hidden="false" customHeight="false" outlineLevel="0" collapsed="false">
      <c r="F197" s="23" t="str">
        <f aca="false">IF(OR(A197="",B197=""),"",A197&amp;"|"&amp;B197)</f>
        <v/>
      </c>
    </row>
    <row r="198" customFormat="false" ht="15" hidden="false" customHeight="false" outlineLevel="0" collapsed="false">
      <c r="F198" s="23" t="str">
        <f aca="false">IF(OR(A198="",B198=""),"",A198&amp;"|"&amp;B198)</f>
        <v/>
      </c>
    </row>
    <row r="199" customFormat="false" ht="15" hidden="false" customHeight="false" outlineLevel="0" collapsed="false">
      <c r="F199" s="23" t="str">
        <f aca="false">IF(OR(A199="",B199=""),"",A199&amp;"|"&amp;B199)</f>
        <v/>
      </c>
    </row>
    <row r="200" customFormat="false" ht="15" hidden="false" customHeight="false" outlineLevel="0" collapsed="false">
      <c r="F200" s="23" t="str">
        <f aca="false">IF(OR(A200="",B200=""),"",A200&amp;"|"&amp;B200)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9" min="2" style="0" width="9"/>
  </cols>
  <sheetData>
    <row r="1" customFormat="false" ht="15" hidden="false" customHeight="false" outlineLevel="0" collapsed="false">
      <c r="A1" s="6" t="s">
        <v>94</v>
      </c>
      <c r="B1" s="8" t="s">
        <v>66</v>
      </c>
      <c r="C1" s="25" t="s">
        <v>95</v>
      </c>
    </row>
    <row r="3" customFormat="false" ht="15" hidden="false" customHeight="false" outlineLevel="0" collapsed="false">
      <c r="A3" s="26" t="s">
        <v>37</v>
      </c>
      <c r="B3" s="27" t="s">
        <v>69</v>
      </c>
      <c r="C3" s="27" t="s">
        <v>70</v>
      </c>
      <c r="D3" s="27" t="s">
        <v>71</v>
      </c>
      <c r="E3" s="27" t="s">
        <v>72</v>
      </c>
      <c r="F3" s="27" t="s">
        <v>73</v>
      </c>
      <c r="G3" s="27" t="s">
        <v>74</v>
      </c>
      <c r="H3" s="27" t="s">
        <v>75</v>
      </c>
      <c r="I3" s="27" t="s">
        <v>76</v>
      </c>
      <c r="J3" s="27" t="s">
        <v>77</v>
      </c>
      <c r="K3" s="27" t="s">
        <v>68</v>
      </c>
      <c r="L3" s="27" t="s">
        <v>78</v>
      </c>
      <c r="M3" s="27" t="s">
        <v>79</v>
      </c>
      <c r="N3" s="27" t="s">
        <v>80</v>
      </c>
      <c r="O3" s="27" t="s">
        <v>81</v>
      </c>
      <c r="P3" s="27" t="s">
        <v>82</v>
      </c>
      <c r="Q3" s="27" t="s">
        <v>83</v>
      </c>
      <c r="R3" s="27" t="s">
        <v>84</v>
      </c>
      <c r="S3" s="27" t="s">
        <v>85</v>
      </c>
    </row>
    <row r="4" customFormat="false" ht="15" hidden="false" customHeight="false" outlineLevel="0" collapsed="false">
      <c r="A4" s="28" t="s">
        <v>90</v>
      </c>
      <c r="B4" s="29" t="str">
        <f aca="false">IF(COUNTIF(원소정보!$F$2:$F$200,$B$1&amp;"|"&amp;B$3)=0,"",IF(INDEX(원소정보!$C$2:$C$200,MATCH($B$1&amp;"|"&amp;B$3,원소정보!$F$2:$F$200,0))="","","x"))</f>
        <v/>
      </c>
      <c r="C4" s="29" t="str">
        <f aca="false">IF(COUNTIF(원소정보!$F$2:$F$200,$B$1&amp;"|"&amp;C$3)=0,"",IF(INDEX(원소정보!$C$2:$C$200,MATCH($B$1&amp;"|"&amp;C$3,원소정보!$F$2:$F$200,0))="","","x"))</f>
        <v>x</v>
      </c>
      <c r="D4" s="29" t="str">
        <f aca="false">IF(COUNTIF(원소정보!$F$2:$F$200,$B$1&amp;"|"&amp;D$3)=0,"",IF(INDEX(원소정보!$C$2:$C$200,MATCH($B$1&amp;"|"&amp;D$3,원소정보!$F$2:$F$200,0))="","","x"))</f>
        <v>x</v>
      </c>
      <c r="E4" s="29" t="str">
        <f aca="false">IF(COUNTIF(원소정보!$F$2:$F$200,$B$1&amp;"|"&amp;E$3)=0,"",IF(INDEX(원소정보!$C$2:$C$200,MATCH($B$1&amp;"|"&amp;E$3,원소정보!$F$2:$F$200,0))="","","x"))</f>
        <v>x</v>
      </c>
      <c r="F4" s="29" t="str">
        <f aca="false">IF(COUNTIF(원소정보!$F$2:$F$200,$B$1&amp;"|"&amp;F$3)=0,"",IF(INDEX(원소정보!$C$2:$C$200,MATCH($B$1&amp;"|"&amp;F$3,원소정보!$F$2:$F$200,0))="","","x"))</f>
        <v/>
      </c>
      <c r="G4" s="29" t="str">
        <f aca="false">IF(COUNTIF(원소정보!$F$2:$F$200,$B$1&amp;"|"&amp;G$3)=0,"",IF(INDEX(원소정보!$C$2:$C$200,MATCH($B$1&amp;"|"&amp;G$3,원소정보!$F$2:$F$200,0))="","","x"))</f>
        <v/>
      </c>
      <c r="H4" s="29" t="str">
        <f aca="false">IF(COUNTIF(원소정보!$F$2:$F$200,$B$1&amp;"|"&amp;H$3)=0,"",IF(INDEX(원소정보!$C$2:$C$200,MATCH($B$1&amp;"|"&amp;H$3,원소정보!$F$2:$F$200,0))="","","x"))</f>
        <v/>
      </c>
      <c r="I4" s="29" t="str">
        <f aca="false">IF(COUNTIF(원소정보!$F$2:$F$200,$B$1&amp;"|"&amp;I$3)=0,"",IF(INDEX(원소정보!$C$2:$C$200,MATCH($B$1&amp;"|"&amp;I$3,원소정보!$F$2:$F$200,0))="","","x"))</f>
        <v/>
      </c>
      <c r="J4" s="29" t="str">
        <f aca="false">IF(COUNTIF(원소정보!$F$2:$F$200,$B$1&amp;"|"&amp;J$3)=0,"",IF(INDEX(원소정보!$C$2:$C$200,MATCH($B$1&amp;"|"&amp;J$3,원소정보!$F$2:$F$200,0))="","","x"))</f>
        <v/>
      </c>
      <c r="K4" s="29" t="str">
        <f aca="false">IF(COUNTIF(원소정보!$F$2:$F$200,$B$1&amp;"|"&amp;K$3)=0,"",IF(INDEX(원소정보!$C$2:$C$200,MATCH($B$1&amp;"|"&amp;K$3,원소정보!$F$2:$F$200,0))="","","x"))</f>
        <v/>
      </c>
      <c r="L4" s="29" t="str">
        <f aca="false">IF(COUNTIF(원소정보!$F$2:$F$200,$B$1&amp;"|"&amp;L$3)=0,"",IF(INDEX(원소정보!$C$2:$C$200,MATCH($B$1&amp;"|"&amp;L$3,원소정보!$F$2:$F$200,0))="","","x"))</f>
        <v/>
      </c>
      <c r="M4" s="29" t="str">
        <f aca="false">IF(COUNTIF(원소정보!$F$2:$F$200,$B$1&amp;"|"&amp;M$3)=0,"",IF(INDEX(원소정보!$C$2:$C$200,MATCH($B$1&amp;"|"&amp;M$3,원소정보!$F$2:$F$200,0))="","","x"))</f>
        <v/>
      </c>
      <c r="N4" s="29" t="str">
        <f aca="false">IF(COUNTIF(원소정보!$F$2:$F$200,$B$1&amp;"|"&amp;N$3)=0,"",IF(INDEX(원소정보!$C$2:$C$200,MATCH($B$1&amp;"|"&amp;N$3,원소정보!$F$2:$F$200,0))="","","x"))</f>
        <v/>
      </c>
      <c r="O4" s="29" t="str">
        <f aca="false">IF(COUNTIF(원소정보!$F$2:$F$200,$B$1&amp;"|"&amp;O$3)=0,"",IF(INDEX(원소정보!$C$2:$C$200,MATCH($B$1&amp;"|"&amp;O$3,원소정보!$F$2:$F$200,0))="","","x"))</f>
        <v>x</v>
      </c>
      <c r="P4" s="29" t="str">
        <f aca="false">IF(COUNTIF(원소정보!$F$2:$F$200,$B$1&amp;"|"&amp;P$3)=0,"",IF(INDEX(원소정보!$C$2:$C$200,MATCH($B$1&amp;"|"&amp;P$3,원소정보!$F$2:$F$200,0))="","","x"))</f>
        <v/>
      </c>
      <c r="Q4" s="29" t="str">
        <f aca="false">IF(COUNTIF(원소정보!$F$2:$F$200,$B$1&amp;"|"&amp;Q$3)=0,"",IF(INDEX(원소정보!$C$2:$C$200,MATCH($B$1&amp;"|"&amp;Q$3,원소정보!$F$2:$F$200,0))="","","x"))</f>
        <v>x</v>
      </c>
      <c r="R4" s="29" t="str">
        <f aca="false">IF(COUNTIF(원소정보!$F$2:$F$200,$B$1&amp;"|"&amp;R$3)=0,"",IF(INDEX(원소정보!$C$2:$C$200,MATCH($B$1&amp;"|"&amp;R$3,원소정보!$F$2:$F$200,0))="","","x"))</f>
        <v/>
      </c>
      <c r="S4" s="29" t="str">
        <f aca="false">IF(COUNTIF(원소정보!$F$2:$F$200,$B$1&amp;"|"&amp;S$3)=0,"",IF(INDEX(원소정보!$C$2:$C$200,MATCH($B$1&amp;"|"&amp;S$3,원소정보!$F$2:$F$200,0))="","","x"))</f>
        <v>x</v>
      </c>
    </row>
    <row r="5" customFormat="false" ht="15" hidden="false" customHeight="false" outlineLevel="0" collapsed="false">
      <c r="A5" s="6" t="s">
        <v>96</v>
      </c>
      <c r="B5" s="29" t="n">
        <f aca="false">IF(COUNTIF(원소정보!$F$2:$F$200,$B$1&amp;"|"&amp;B$3)=0,"",INDEX(원소정보!$D$2:$D$200,MATCH($B$1&amp;"|"&amp;B$3,원소정보!$F$2:$F$200,0)))</f>
        <v>30</v>
      </c>
      <c r="C5" s="29" t="n">
        <f aca="false">IF(COUNTIF(원소정보!$F$2:$F$200,$B$1&amp;"|"&amp;C$3)=0,"",INDEX(원소정보!$D$2:$D$200,MATCH($B$1&amp;"|"&amp;C$3,원소정보!$F$2:$F$200,0)))</f>
        <v>50</v>
      </c>
      <c r="D5" s="29" t="n">
        <f aca="false">IF(COUNTIF(원소정보!$F$2:$F$200,$B$1&amp;"|"&amp;D$3)=0,"",INDEX(원소정보!$D$2:$D$200,MATCH($B$1&amp;"|"&amp;D$3,원소정보!$F$2:$F$200,0)))</f>
        <v>5</v>
      </c>
      <c r="E5" s="29" t="n">
        <f aca="false">IF(COUNTIF(원소정보!$F$2:$F$200,$B$1&amp;"|"&amp;E$3)=0,"",INDEX(원소정보!$D$2:$D$200,MATCH($B$1&amp;"|"&amp;E$3,원소정보!$F$2:$F$200,0)))</f>
        <v>60</v>
      </c>
      <c r="F5" s="29" t="n">
        <f aca="false">IF(COUNTIF(원소정보!$F$2:$F$200,$B$1&amp;"|"&amp;F$3)=0,"",INDEX(원소정보!$D$2:$D$200,MATCH($B$1&amp;"|"&amp;F$3,원소정보!$F$2:$F$200,0)))</f>
        <v>100</v>
      </c>
      <c r="G5" s="29" t="n">
        <f aca="false">IF(COUNTIF(원소정보!$F$2:$F$200,$B$1&amp;"|"&amp;G$3)=0,"",INDEX(원소정보!$D$2:$D$200,MATCH($B$1&amp;"|"&amp;G$3,원소정보!$F$2:$F$200,0)))</f>
        <v>90</v>
      </c>
      <c r="H5" s="29" t="n">
        <f aca="false">IF(COUNTIF(원소정보!$F$2:$F$200,$B$1&amp;"|"&amp;H$3)=0,"",INDEX(원소정보!$D$2:$D$200,MATCH($B$1&amp;"|"&amp;H$3,원소정보!$F$2:$F$200,0)))</f>
        <v>60</v>
      </c>
      <c r="I5" s="29" t="n">
        <f aca="false">IF(COUNTIF(원소정보!$F$2:$F$200,$B$1&amp;"|"&amp;I$3)=0,"",INDEX(원소정보!$D$2:$D$200,MATCH($B$1&amp;"|"&amp;I$3,원소정보!$F$2:$F$200,0)))</f>
        <v>20</v>
      </c>
      <c r="J5" s="29" t="n">
        <f aca="false">IF(COUNTIF(원소정보!$F$2:$F$200,$B$1&amp;"|"&amp;J$3)=0,"",INDEX(원소정보!$D$2:$D$200,MATCH($B$1&amp;"|"&amp;J$3,원소정보!$F$2:$F$200,0)))</f>
        <v>20</v>
      </c>
      <c r="K5" s="29" t="n">
        <f aca="false">IF(COUNTIF(원소정보!$F$2:$F$200,$B$1&amp;"|"&amp;K$3)=0,"",INDEX(원소정보!$D$2:$D$200,MATCH($B$1&amp;"|"&amp;K$3,원소정보!$F$2:$F$200,0)))</f>
        <v>40</v>
      </c>
      <c r="L5" s="29" t="n">
        <f aca="false">IF(COUNTIF(원소정보!$F$2:$F$200,$B$1&amp;"|"&amp;L$3)=0,"",INDEX(원소정보!$D$2:$D$200,MATCH($B$1&amp;"|"&amp;L$3,원소정보!$F$2:$F$200,0)))</f>
        <v>30</v>
      </c>
      <c r="M5" s="29" t="n">
        <f aca="false">IF(COUNTIF(원소정보!$F$2:$F$200,$B$1&amp;"|"&amp;M$3)=0,"",INDEX(원소정보!$D$2:$D$200,MATCH($B$1&amp;"|"&amp;M$3,원소정보!$F$2:$F$200,0)))</f>
        <v>50</v>
      </c>
      <c r="N5" s="29" t="n">
        <f aca="false">IF(COUNTIF(원소정보!$F$2:$F$200,$B$1&amp;"|"&amp;N$3)=0,"",INDEX(원소정보!$D$2:$D$200,MATCH($B$1&amp;"|"&amp;N$3,원소정보!$F$2:$F$200,0)))</f>
        <v>80</v>
      </c>
      <c r="O5" s="29" t="n">
        <f aca="false">IF(COUNTIF(원소정보!$F$2:$F$200,$B$1&amp;"|"&amp;O$3)=0,"",INDEX(원소정보!$D$2:$D$200,MATCH($B$1&amp;"|"&amp;O$3,원소정보!$F$2:$F$200,0)))</f>
        <v>30</v>
      </c>
      <c r="P5" s="29" t="n">
        <f aca="false">IF(COUNTIF(원소정보!$F$2:$F$200,$B$1&amp;"|"&amp;P$3)=0,"",INDEX(원소정보!$D$2:$D$200,MATCH($B$1&amp;"|"&amp;P$3,원소정보!$F$2:$F$200,0)))</f>
        <v>100</v>
      </c>
      <c r="Q5" s="29" t="n">
        <f aca="false">IF(COUNTIF(원소정보!$F$2:$F$200,$B$1&amp;"|"&amp;Q$3)=0,"",INDEX(원소정보!$D$2:$D$200,MATCH($B$1&amp;"|"&amp;Q$3,원소정보!$F$2:$F$200,0)))</f>
        <v>20</v>
      </c>
      <c r="R5" s="29" t="n">
        <f aca="false">IF(COUNTIF(원소정보!$F$2:$F$200,$B$1&amp;"|"&amp;R$3)=0,"",INDEX(원소정보!$D$2:$D$200,MATCH($B$1&amp;"|"&amp;R$3,원소정보!$F$2:$F$200,0)))</f>
        <v>70</v>
      </c>
      <c r="S5" s="29" t="n">
        <f aca="false">IF(COUNTIF(원소정보!$F$2:$F$200,$B$1&amp;"|"&amp;S$3)=0,"",INDEX(원소정보!$D$2:$D$200,MATCH($B$1&amp;"|"&amp;S$3,원소정보!$F$2:$F$200,0)))</f>
        <v>20</v>
      </c>
    </row>
    <row r="6" customFormat="false" ht="15" hidden="false" customHeight="false" outlineLevel="0" collapsed="false">
      <c r="A6" s="6" t="s">
        <v>97</v>
      </c>
      <c r="B6" s="30" t="n">
        <f aca="false">IF(COUNTIF(원소정보!$F$2:$F$200,$B$1&amp;"|"&amp;B$3)=0,"",INDEX(원소정보!$E$2:$E$200,MATCH($B$1&amp;"|"&amp;B$3,원소정보!$F$2:$F$200,0)))</f>
        <v>6.24</v>
      </c>
      <c r="C6" s="30" t="n">
        <f aca="false">IF(COUNTIF(원소정보!$F$2:$F$200,$B$1&amp;"|"&amp;C$3)=0,"",INDEX(원소정보!$E$2:$E$200,MATCH($B$1&amp;"|"&amp;C$3,원소정보!$F$2:$F$200,0)))</f>
        <v>0.28</v>
      </c>
      <c r="D6" s="30" t="n">
        <f aca="false">IF(COUNTIF(원소정보!$F$2:$F$200,$B$1&amp;"|"&amp;D$3)=0,"",INDEX(원소정보!$E$2:$E$200,MATCH($B$1&amp;"|"&amp;D$3,원소정보!$F$2:$F$200,0)))</f>
        <v>0.13</v>
      </c>
      <c r="E6" s="30" t="n">
        <f aca="false">IF(COUNTIF(원소정보!$F$2:$F$200,$B$1&amp;"|"&amp;E$3)=0,"",INDEX(원소정보!$E$2:$E$200,MATCH($B$1&amp;"|"&amp;E$3,원소정보!$F$2:$F$200,0)))</f>
        <v>5.4</v>
      </c>
      <c r="F6" s="30" t="n">
        <f aca="false">IF(COUNTIF(원소정보!$F$2:$F$200,$B$1&amp;"|"&amp;F$3)=0,"",INDEX(원소정보!$E$2:$E$200,MATCH($B$1&amp;"|"&amp;F$3,원소정보!$F$2:$F$200,0)))</f>
        <v>5.4</v>
      </c>
      <c r="G6" s="30" t="n">
        <f aca="false">IF(COUNTIF(원소정보!$F$2:$F$200,$B$1&amp;"|"&amp;G$3)=0,"",INDEX(원소정보!$E$2:$E$200,MATCH($B$1&amp;"|"&amp;G$3,원소정보!$F$2:$F$200,0)))</f>
        <v>21.6</v>
      </c>
      <c r="H6" s="30" t="n">
        <f aca="false">IF(COUNTIF(원소정보!$F$2:$F$200,$B$1&amp;"|"&amp;H$3)=0,"",INDEX(원소정보!$E$2:$E$200,MATCH($B$1&amp;"|"&amp;H$3,원소정보!$F$2:$F$200,0)))</f>
        <v>39.6</v>
      </c>
      <c r="I6" s="30" t="n">
        <f aca="false">IF(COUNTIF(원소정보!$F$2:$F$200,$B$1&amp;"|"&amp;I$3)=0,"",INDEX(원소정보!$E$2:$E$200,MATCH($B$1&amp;"|"&amp;I$3,원소정보!$F$2:$F$200,0)))</f>
        <v>9.72</v>
      </c>
      <c r="J6" s="30" t="n">
        <f aca="false">IF(COUNTIF(원소정보!$F$2:$F$200,$B$1&amp;"|"&amp;J$3)=0,"",INDEX(원소정보!$E$2:$E$200,MATCH($B$1&amp;"|"&amp;J$3,원소정보!$F$2:$F$200,0)))</f>
        <v>0.28</v>
      </c>
      <c r="K6" s="30" t="n">
        <f aca="false">IF(COUNTIF(원소정보!$F$2:$F$200,$B$1&amp;"|"&amp;K$3)=0,"",INDEX(원소정보!$E$2:$E$200,MATCH($B$1&amp;"|"&amp;K$3,원소정보!$F$2:$F$200,0)))</f>
        <v>24</v>
      </c>
      <c r="L6" s="30" t="n">
        <f aca="false">IF(COUNTIF(원소정보!$F$2:$F$200,$B$1&amp;"|"&amp;L$3)=0,"",INDEX(원소정보!$E$2:$E$200,MATCH($B$1&amp;"|"&amp;L$3,원소정보!$F$2:$F$200,0)))</f>
        <v>11.4</v>
      </c>
      <c r="M6" s="30" t="n">
        <f aca="false">IF(COUNTIF(원소정보!$F$2:$F$200,$B$1&amp;"|"&amp;M$3)=0,"",INDEX(원소정보!$E$2:$E$200,MATCH($B$1&amp;"|"&amp;M$3,원소정보!$F$2:$F$200,0)))</f>
        <v>3.6</v>
      </c>
      <c r="N6" s="30" t="n">
        <f aca="false">IF(COUNTIF(원소정보!$F$2:$F$200,$B$1&amp;"|"&amp;N$3)=0,"",INDEX(원소정보!$E$2:$E$200,MATCH($B$1&amp;"|"&amp;N$3,원소정보!$F$2:$F$200,0)))</f>
        <v>55.2</v>
      </c>
      <c r="O6" s="30" t="n">
        <f aca="false">IF(COUNTIF(원소정보!$F$2:$F$200,$B$1&amp;"|"&amp;O$3)=0,"",INDEX(원소정보!$E$2:$E$200,MATCH($B$1&amp;"|"&amp;O$3,원소정보!$F$2:$F$200,0)))</f>
        <v>2.88</v>
      </c>
      <c r="P6" s="30" t="n">
        <f aca="false">IF(COUNTIF(원소정보!$F$2:$F$200,$B$1&amp;"|"&amp;P$3)=0,"",INDEX(원소정보!$E$2:$E$200,MATCH($B$1&amp;"|"&amp;P$3,원소정보!$F$2:$F$200,0)))</f>
        <v>0.32</v>
      </c>
      <c r="Q6" s="30" t="n">
        <f aca="false">IF(COUNTIF(원소정보!$F$2:$F$200,$B$1&amp;"|"&amp;Q$3)=0,"",INDEX(원소정보!$E$2:$E$200,MATCH($B$1&amp;"|"&amp;Q$3,원소정보!$F$2:$F$200,0)))</f>
        <v>0.51</v>
      </c>
      <c r="R6" s="30" t="n">
        <f aca="false">IF(COUNTIF(원소정보!$F$2:$F$200,$B$1&amp;"|"&amp;R$3)=0,"",INDEX(원소정보!$E$2:$E$200,MATCH($B$1&amp;"|"&amp;R$3,원소정보!$F$2:$F$200,0)))</f>
        <v>24</v>
      </c>
      <c r="S6" s="30" t="n">
        <f aca="false">IF(COUNTIF(원소정보!$F$2:$F$200,$B$1&amp;"|"&amp;S$3)=0,"",INDEX(원소정보!$E$2:$E$200,MATCH($B$1&amp;"|"&amp;S$3,원소정보!$F$2:$F$200,0)))</f>
        <v>0.3</v>
      </c>
    </row>
    <row r="7" customFormat="false" ht="15" hidden="false" customHeight="false" outlineLevel="0" collapsed="false">
      <c r="A7" s="28" t="s">
        <v>98</v>
      </c>
    </row>
    <row r="8" customFormat="false" ht="15" hidden="false" customHeight="false" outlineLevel="0" collapsed="false">
      <c r="A8" s="31" t="n">
        <v>0.005</v>
      </c>
      <c r="B8" s="32" t="n">
        <f aca="false">IF(COUNTIFS(기준SD!$E$2:$E$500,$B$1&amp;"|"&amp;B$3,기준SD!$C$2:$C$500,$A8)=0,"",SUMIFS(기준SD!$D$2:$D$500,기준SD!$E$2:$E$500,$B$1&amp;"|"&amp;B$3,기준SD!$C$2:$C$500,$A8))</f>
        <v>0.001</v>
      </c>
      <c r="C8" s="32" t="str">
        <f aca="false">IF(COUNTIFS(기준SD!$E$2:$E$500,$B$1&amp;"|"&amp;C$3,기준SD!$C$2:$C$500,$A8)=0,"",SUMIFS(기준SD!$D$2:$D$500,기준SD!$E$2:$E$500,$B$1&amp;"|"&amp;C$3,기준SD!$C$2:$C$500,$A8))</f>
        <v/>
      </c>
      <c r="D8" s="32" t="n">
        <f aca="false">IF(COUNTIFS(기준SD!$E$2:$E$500,$B$1&amp;"|"&amp;D$3,기준SD!$C$2:$C$500,$A8)=0,"",SUMIFS(기준SD!$D$2:$D$500,기준SD!$E$2:$E$500,$B$1&amp;"|"&amp;D$3,기준SD!$C$2:$C$500,$A8))</f>
        <v>0.0002</v>
      </c>
      <c r="E8" s="32" t="str">
        <f aca="false">IF(COUNTIFS(기준SD!$E$2:$E$500,$B$1&amp;"|"&amp;E$3,기준SD!$C$2:$C$500,$A8)=0,"",SUMIFS(기준SD!$D$2:$D$500,기준SD!$E$2:$E$500,$B$1&amp;"|"&amp;E$3,기준SD!$C$2:$C$500,$A8))</f>
        <v/>
      </c>
      <c r="F8" s="32" t="str">
        <f aca="false">IF(COUNTIFS(기준SD!$E$2:$E$500,$B$1&amp;"|"&amp;F$3,기준SD!$C$2:$C$500,$A8)=0,"",SUMIFS(기준SD!$D$2:$D$500,기준SD!$E$2:$E$500,$B$1&amp;"|"&amp;F$3,기준SD!$C$2:$C$500,$A8))</f>
        <v/>
      </c>
      <c r="G8" s="32" t="str">
        <f aca="false">IF(COUNTIFS(기준SD!$E$2:$E$500,$B$1&amp;"|"&amp;G$3,기준SD!$C$2:$C$500,$A8)=0,"",SUMIFS(기준SD!$D$2:$D$500,기준SD!$E$2:$E$500,$B$1&amp;"|"&amp;G$3,기준SD!$C$2:$C$500,$A8))</f>
        <v/>
      </c>
      <c r="H8" s="32" t="str">
        <f aca="false">IF(COUNTIFS(기준SD!$E$2:$E$500,$B$1&amp;"|"&amp;H$3,기준SD!$C$2:$C$500,$A8)=0,"",SUMIFS(기준SD!$D$2:$D$500,기준SD!$E$2:$E$500,$B$1&amp;"|"&amp;H$3,기준SD!$C$2:$C$500,$A8))</f>
        <v/>
      </c>
      <c r="I8" s="32" t="n">
        <f aca="false">IF(COUNTIFS(기준SD!$E$2:$E$500,$B$1&amp;"|"&amp;I$3,기준SD!$C$2:$C$500,$A8)=0,"",SUMIFS(기준SD!$D$2:$D$500,기준SD!$E$2:$E$500,$B$1&amp;"|"&amp;I$3,기준SD!$C$2:$C$500,$A8))</f>
        <v>0.0003</v>
      </c>
      <c r="J8" s="32" t="n">
        <f aca="false">IF(COUNTIFS(기준SD!$E$2:$E$500,$B$1&amp;"|"&amp;J$3,기준SD!$C$2:$C$500,$A8)=0,"",SUMIFS(기준SD!$D$2:$D$500,기준SD!$E$2:$E$500,$B$1&amp;"|"&amp;J$3,기준SD!$C$2:$C$500,$A8))</f>
        <v>0.001</v>
      </c>
      <c r="K8" s="32" t="n">
        <f aca="false">IF(COUNTIFS(기준SD!$E$2:$E$500,$B$1&amp;"|"&amp;K$3,기준SD!$C$2:$C$500,$A8)=0,"",SUMIFS(기준SD!$D$2:$D$500,기준SD!$E$2:$E$500,$B$1&amp;"|"&amp;K$3,기준SD!$C$2:$C$500,$A8))</f>
        <v>0.001</v>
      </c>
      <c r="L8" s="32" t="n">
        <f aca="false">IF(COUNTIFS(기준SD!$E$2:$E$500,$B$1&amp;"|"&amp;L$3,기준SD!$C$2:$C$500,$A8)=0,"",SUMIFS(기준SD!$D$2:$D$500,기준SD!$E$2:$E$500,$B$1&amp;"|"&amp;L$3,기준SD!$C$2:$C$500,$A8))</f>
        <v>0.001</v>
      </c>
      <c r="M8" s="32" t="str">
        <f aca="false">IF(COUNTIFS(기준SD!$E$2:$E$500,$B$1&amp;"|"&amp;M$3,기준SD!$C$2:$C$500,$A8)=0,"",SUMIFS(기준SD!$D$2:$D$500,기준SD!$E$2:$E$500,$B$1&amp;"|"&amp;M$3,기준SD!$C$2:$C$500,$A8))</f>
        <v/>
      </c>
      <c r="N8" s="32" t="str">
        <f aca="false">IF(COUNTIFS(기준SD!$E$2:$E$500,$B$1&amp;"|"&amp;N$3,기준SD!$C$2:$C$500,$A8)=0,"",SUMIFS(기준SD!$D$2:$D$500,기준SD!$E$2:$E$500,$B$1&amp;"|"&amp;N$3,기준SD!$C$2:$C$500,$A8))</f>
        <v/>
      </c>
      <c r="O8" s="32" t="n">
        <f aca="false">IF(COUNTIFS(기준SD!$E$2:$E$500,$B$1&amp;"|"&amp;O$3,기준SD!$C$2:$C$500,$A8)=0,"",SUMIFS(기준SD!$D$2:$D$500,기준SD!$E$2:$E$500,$B$1&amp;"|"&amp;O$3,기준SD!$C$2:$C$500,$A8))</f>
        <v>0.002</v>
      </c>
      <c r="P8" s="32" t="str">
        <f aca="false">IF(COUNTIFS(기준SD!$E$2:$E$500,$B$1&amp;"|"&amp;P$3,기준SD!$C$2:$C$500,$A8)=0,"",SUMIFS(기준SD!$D$2:$D$500,기준SD!$E$2:$E$500,$B$1&amp;"|"&amp;P$3,기준SD!$C$2:$C$500,$A8))</f>
        <v/>
      </c>
      <c r="Q8" s="32" t="n">
        <f aca="false">IF(COUNTIFS(기준SD!$E$2:$E$500,$B$1&amp;"|"&amp;Q$3,기준SD!$C$2:$C$500,$A8)=0,"",SUMIFS(기준SD!$D$2:$D$500,기준SD!$E$2:$E$500,$B$1&amp;"|"&amp;Q$3,기준SD!$C$2:$C$500,$A8))</f>
        <v>0.001</v>
      </c>
      <c r="R8" s="32" t="str">
        <f aca="false">IF(COUNTIFS(기준SD!$E$2:$E$500,$B$1&amp;"|"&amp;R$3,기준SD!$C$2:$C$500,$A8)=0,"",SUMIFS(기준SD!$D$2:$D$500,기준SD!$E$2:$E$500,$B$1&amp;"|"&amp;R$3,기준SD!$C$2:$C$500,$A8))</f>
        <v/>
      </c>
      <c r="S8" s="32" t="n">
        <f aca="false">IF(COUNTIFS(기준SD!$E$2:$E$500,$B$1&amp;"|"&amp;S$3,기준SD!$C$2:$C$500,$A8)=0,"",SUMIFS(기준SD!$D$2:$D$500,기준SD!$E$2:$E$500,$B$1&amp;"|"&amp;S$3,기준SD!$C$2:$C$500,$A8))</f>
        <v>0.001</v>
      </c>
    </row>
    <row r="9" customFormat="false" ht="15" hidden="false" customHeight="false" outlineLevel="0" collapsed="false">
      <c r="A9" s="31" t="n">
        <v>0.01</v>
      </c>
      <c r="B9" s="32" t="n">
        <f aca="false">IF(COUNTIFS(기준SD!$E$2:$E$500,$B$1&amp;"|"&amp;B$3,기준SD!$C$2:$C$500,$A9)=0,"",SUMIFS(기준SD!$D$2:$D$500,기준SD!$E$2:$E$500,$B$1&amp;"|"&amp;B$3,기준SD!$C$2:$C$500,$A9))</f>
        <v>0.001</v>
      </c>
      <c r="C9" s="32" t="n">
        <f aca="false">IF(COUNTIFS(기준SD!$E$2:$E$500,$B$1&amp;"|"&amp;C$3,기준SD!$C$2:$C$500,$A9)=0,"",SUMIFS(기준SD!$D$2:$D$500,기준SD!$E$2:$E$500,$B$1&amp;"|"&amp;C$3,기준SD!$C$2:$C$500,$A9))</f>
        <v>0.002</v>
      </c>
      <c r="D9" s="32" t="n">
        <f aca="false">IF(COUNTIFS(기준SD!$E$2:$E$500,$B$1&amp;"|"&amp;D$3,기준SD!$C$2:$C$500,$A9)=0,"",SUMIFS(기준SD!$D$2:$D$500,기준SD!$E$2:$E$500,$B$1&amp;"|"&amp;D$3,기준SD!$C$2:$C$500,$A9))</f>
        <v>0.0004</v>
      </c>
      <c r="E9" s="32" t="n">
        <f aca="false">IF(COUNTIFS(기준SD!$E$2:$E$500,$B$1&amp;"|"&amp;E$3,기준SD!$C$2:$C$500,$A9)=0,"",SUMIFS(기준SD!$D$2:$D$500,기준SD!$E$2:$E$500,$B$1&amp;"|"&amp;E$3,기준SD!$C$2:$C$500,$A9))</f>
        <v>0.001</v>
      </c>
      <c r="F9" s="32" t="str">
        <f aca="false">IF(COUNTIFS(기준SD!$E$2:$E$500,$B$1&amp;"|"&amp;F$3,기준SD!$C$2:$C$500,$A9)=0,"",SUMIFS(기준SD!$D$2:$D$500,기준SD!$E$2:$E$500,$B$1&amp;"|"&amp;F$3,기준SD!$C$2:$C$500,$A9))</f>
        <v/>
      </c>
      <c r="G9" s="32" t="n">
        <f aca="false">IF(COUNTIFS(기준SD!$E$2:$E$500,$B$1&amp;"|"&amp;G$3,기준SD!$C$2:$C$500,$A9)=0,"",SUMIFS(기준SD!$D$2:$D$500,기준SD!$E$2:$E$500,$B$1&amp;"|"&amp;G$3,기준SD!$C$2:$C$500,$A9))</f>
        <v>0.003</v>
      </c>
      <c r="H9" s="32" t="n">
        <f aca="false">IF(COUNTIFS(기준SD!$E$2:$E$500,$B$1&amp;"|"&amp;H$3,기준SD!$C$2:$C$500,$A9)=0,"",SUMIFS(기준SD!$D$2:$D$500,기준SD!$E$2:$E$500,$B$1&amp;"|"&amp;H$3,기준SD!$C$2:$C$500,$A9))</f>
        <v>0.002</v>
      </c>
      <c r="I9" s="32" t="n">
        <f aca="false">IF(COUNTIFS(기준SD!$E$2:$E$500,$B$1&amp;"|"&amp;I$3,기준SD!$C$2:$C$500,$A9)=0,"",SUMIFS(기준SD!$D$2:$D$500,기준SD!$E$2:$E$500,$B$1&amp;"|"&amp;I$3,기준SD!$C$2:$C$500,$A9))</f>
        <v>0.001</v>
      </c>
      <c r="J9" s="32" t="n">
        <f aca="false">IF(COUNTIFS(기준SD!$E$2:$E$500,$B$1&amp;"|"&amp;J$3,기준SD!$C$2:$C$500,$A9)=0,"",SUMIFS(기준SD!$D$2:$D$500,기준SD!$E$2:$E$500,$B$1&amp;"|"&amp;J$3,기준SD!$C$2:$C$500,$A9))</f>
        <v>0.001</v>
      </c>
      <c r="K9" s="32" t="n">
        <f aca="false">IF(COUNTIFS(기준SD!$E$2:$E$500,$B$1&amp;"|"&amp;K$3,기준SD!$C$2:$C$500,$A9)=0,"",SUMIFS(기준SD!$D$2:$D$500,기준SD!$E$2:$E$500,$B$1&amp;"|"&amp;K$3,기준SD!$C$2:$C$500,$A9))</f>
        <v>0.001</v>
      </c>
      <c r="L9" s="32" t="n">
        <f aca="false">IF(COUNTIFS(기준SD!$E$2:$E$500,$B$1&amp;"|"&amp;L$3,기준SD!$C$2:$C$500,$A9)=0,"",SUMIFS(기준SD!$D$2:$D$500,기준SD!$E$2:$E$500,$B$1&amp;"|"&amp;L$3,기준SD!$C$2:$C$500,$A9))</f>
        <v>0.001</v>
      </c>
      <c r="M9" s="32" t="n">
        <f aca="false">IF(COUNTIFS(기준SD!$E$2:$E$500,$B$1&amp;"|"&amp;M$3,기준SD!$C$2:$C$500,$A9)=0,"",SUMIFS(기준SD!$D$2:$D$500,기준SD!$E$2:$E$500,$B$1&amp;"|"&amp;M$3,기준SD!$C$2:$C$500,$A9))</f>
        <v>0.002</v>
      </c>
      <c r="N9" s="32" t="n">
        <f aca="false">IF(COUNTIFS(기준SD!$E$2:$E$500,$B$1&amp;"|"&amp;N$3,기준SD!$C$2:$C$500,$A9)=0,"",SUMIFS(기준SD!$D$2:$D$500,기준SD!$E$2:$E$500,$B$1&amp;"|"&amp;N$3,기준SD!$C$2:$C$500,$A9))</f>
        <v>0.001</v>
      </c>
      <c r="O9" s="32" t="n">
        <f aca="false">IF(COUNTIFS(기준SD!$E$2:$E$500,$B$1&amp;"|"&amp;O$3,기준SD!$C$2:$C$500,$A9)=0,"",SUMIFS(기준SD!$D$2:$D$500,기준SD!$E$2:$E$500,$B$1&amp;"|"&amp;O$3,기준SD!$C$2:$C$500,$A9))</f>
        <v>0.002</v>
      </c>
      <c r="P9" s="32" t="n">
        <f aca="false">IF(COUNTIFS(기준SD!$E$2:$E$500,$B$1&amp;"|"&amp;P$3,기준SD!$C$2:$C$500,$A9)=0,"",SUMIFS(기준SD!$D$2:$D$500,기준SD!$E$2:$E$500,$B$1&amp;"|"&amp;P$3,기준SD!$C$2:$C$500,$A9))</f>
        <v>0.002</v>
      </c>
      <c r="Q9" s="32" t="n">
        <f aca="false">IF(COUNTIFS(기준SD!$E$2:$E$500,$B$1&amp;"|"&amp;Q$3,기준SD!$C$2:$C$500,$A9)=0,"",SUMIFS(기준SD!$D$2:$D$500,기준SD!$E$2:$E$500,$B$1&amp;"|"&amp;Q$3,기준SD!$C$2:$C$500,$A9))</f>
        <v>0.001</v>
      </c>
      <c r="R9" s="32" t="n">
        <f aca="false">IF(COUNTIFS(기준SD!$E$2:$E$500,$B$1&amp;"|"&amp;R$3,기준SD!$C$2:$C$500,$A9)=0,"",SUMIFS(기준SD!$D$2:$D$500,기준SD!$E$2:$E$500,$B$1&amp;"|"&amp;R$3,기준SD!$C$2:$C$500,$A9))</f>
        <v>0.001</v>
      </c>
      <c r="S9" s="32" t="n">
        <f aca="false">IF(COUNTIFS(기준SD!$E$2:$E$500,$B$1&amp;"|"&amp;S$3,기준SD!$C$2:$C$500,$A9)=0,"",SUMIFS(기준SD!$D$2:$D$500,기준SD!$E$2:$E$500,$B$1&amp;"|"&amp;S$3,기준SD!$C$2:$C$500,$A9))</f>
        <v>0.001</v>
      </c>
    </row>
    <row r="10" customFormat="false" ht="15" hidden="false" customHeight="false" outlineLevel="0" collapsed="false">
      <c r="A10" s="31" t="n">
        <v>0.05</v>
      </c>
      <c r="B10" s="32" t="n">
        <f aca="false">IF(COUNTIFS(기준SD!$E$2:$E$500,$B$1&amp;"|"&amp;B$3,기준SD!$C$2:$C$500,$A10)=0,"",SUMIFS(기준SD!$D$2:$D$500,기준SD!$E$2:$E$500,$B$1&amp;"|"&amp;B$3,기준SD!$C$2:$C$500,$A10))</f>
        <v>0.001</v>
      </c>
      <c r="C10" s="32" t="n">
        <f aca="false">IF(COUNTIFS(기준SD!$E$2:$E$500,$B$1&amp;"|"&amp;C$3,기준SD!$C$2:$C$500,$A10)=0,"",SUMIFS(기준SD!$D$2:$D$500,기준SD!$E$2:$E$500,$B$1&amp;"|"&amp;C$3,기준SD!$C$2:$C$500,$A10))</f>
        <v>0.002</v>
      </c>
      <c r="D10" s="32" t="str">
        <f aca="false">IF(COUNTIFS(기준SD!$E$2:$E$500,$B$1&amp;"|"&amp;D$3,기준SD!$C$2:$C$500,$A10)=0,"",SUMIFS(기준SD!$D$2:$D$500,기준SD!$E$2:$E$500,$B$1&amp;"|"&amp;D$3,기준SD!$C$2:$C$500,$A10))</f>
        <v/>
      </c>
      <c r="E10" s="32" t="n">
        <f aca="false">IF(COUNTIFS(기준SD!$E$2:$E$500,$B$1&amp;"|"&amp;E$3,기준SD!$C$2:$C$500,$A10)=0,"",SUMIFS(기준SD!$D$2:$D$500,기준SD!$E$2:$E$500,$B$1&amp;"|"&amp;E$3,기준SD!$C$2:$C$500,$A10))</f>
        <v>0.002</v>
      </c>
      <c r="F10" s="32" t="n">
        <f aca="false">IF(COUNTIFS(기준SD!$E$2:$E$500,$B$1&amp;"|"&amp;F$3,기준SD!$C$2:$C$500,$A10)=0,"",SUMIFS(기준SD!$D$2:$D$500,기준SD!$E$2:$E$500,$B$1&amp;"|"&amp;F$3,기준SD!$C$2:$C$500,$A10))</f>
        <v>0.002</v>
      </c>
      <c r="G10" s="32" t="n">
        <f aca="false">IF(COUNTIFS(기준SD!$E$2:$E$500,$B$1&amp;"|"&amp;G$3,기준SD!$C$2:$C$500,$A10)=0,"",SUMIFS(기준SD!$D$2:$D$500,기준SD!$E$2:$E$500,$B$1&amp;"|"&amp;G$3,기준SD!$C$2:$C$500,$A10))</f>
        <v>0.003</v>
      </c>
      <c r="H10" s="32" t="n">
        <f aca="false">IF(COUNTIFS(기준SD!$E$2:$E$500,$B$1&amp;"|"&amp;H$3,기준SD!$C$2:$C$500,$A10)=0,"",SUMIFS(기준SD!$D$2:$D$500,기준SD!$E$2:$E$500,$B$1&amp;"|"&amp;H$3,기준SD!$C$2:$C$500,$A10))</f>
        <v>0.002</v>
      </c>
      <c r="I10" s="32" t="n">
        <f aca="false">IF(COUNTIFS(기준SD!$E$2:$E$500,$B$1&amp;"|"&amp;I$3,기준SD!$C$2:$C$500,$A10)=0,"",SUMIFS(기준SD!$D$2:$D$500,기준SD!$E$2:$E$500,$B$1&amp;"|"&amp;I$3,기준SD!$C$2:$C$500,$A10))</f>
        <v>0.002</v>
      </c>
      <c r="J10" s="32" t="n">
        <f aca="false">IF(COUNTIFS(기준SD!$E$2:$E$500,$B$1&amp;"|"&amp;J$3,기준SD!$C$2:$C$500,$A10)=0,"",SUMIFS(기준SD!$D$2:$D$500,기준SD!$E$2:$E$500,$B$1&amp;"|"&amp;J$3,기준SD!$C$2:$C$500,$A10))</f>
        <v>0.005</v>
      </c>
      <c r="K10" s="32" t="n">
        <f aca="false">IF(COUNTIFS(기준SD!$E$2:$E$500,$B$1&amp;"|"&amp;K$3,기준SD!$C$2:$C$500,$A10)=0,"",SUMIFS(기준SD!$D$2:$D$500,기준SD!$E$2:$E$500,$B$1&amp;"|"&amp;K$3,기준SD!$C$2:$C$500,$A10))</f>
        <v>0.001</v>
      </c>
      <c r="L10" s="32" t="n">
        <f aca="false">IF(COUNTIFS(기준SD!$E$2:$E$500,$B$1&amp;"|"&amp;L$3,기준SD!$C$2:$C$500,$A10)=0,"",SUMIFS(기준SD!$D$2:$D$500,기준SD!$E$2:$E$500,$B$1&amp;"|"&amp;L$3,기준SD!$C$2:$C$500,$A10))</f>
        <v>0.001</v>
      </c>
      <c r="M10" s="32" t="n">
        <f aca="false">IF(COUNTIFS(기준SD!$E$2:$E$500,$B$1&amp;"|"&amp;M$3,기준SD!$C$2:$C$500,$A10)=0,"",SUMIFS(기준SD!$D$2:$D$500,기준SD!$E$2:$E$500,$B$1&amp;"|"&amp;M$3,기준SD!$C$2:$C$500,$A10))</f>
        <v>0.002</v>
      </c>
      <c r="N10" s="32" t="n">
        <f aca="false">IF(COUNTIFS(기준SD!$E$2:$E$500,$B$1&amp;"|"&amp;N$3,기준SD!$C$2:$C$500,$A10)=0,"",SUMIFS(기준SD!$D$2:$D$500,기준SD!$E$2:$E$500,$B$1&amp;"|"&amp;N$3,기준SD!$C$2:$C$500,$A10))</f>
        <v>0.001</v>
      </c>
      <c r="O10" s="32" t="n">
        <f aca="false">IF(COUNTIFS(기준SD!$E$2:$E$500,$B$1&amp;"|"&amp;O$3,기준SD!$C$2:$C$500,$A10)=0,"",SUMIFS(기준SD!$D$2:$D$500,기준SD!$E$2:$E$500,$B$1&amp;"|"&amp;O$3,기준SD!$C$2:$C$500,$A10))</f>
        <v>0.002</v>
      </c>
      <c r="P10" s="32" t="str">
        <f aca="false">IF(COUNTIFS(기준SD!$E$2:$E$500,$B$1&amp;"|"&amp;P$3,기준SD!$C$2:$C$500,$A10)=0,"",SUMIFS(기준SD!$D$2:$D$500,기준SD!$E$2:$E$500,$B$1&amp;"|"&amp;P$3,기준SD!$C$2:$C$500,$A10))</f>
        <v/>
      </c>
      <c r="Q10" s="32" t="n">
        <f aca="false">IF(COUNTIFS(기준SD!$E$2:$E$500,$B$1&amp;"|"&amp;Q$3,기준SD!$C$2:$C$500,$A10)=0,"",SUMIFS(기준SD!$D$2:$D$500,기준SD!$E$2:$E$500,$B$1&amp;"|"&amp;Q$3,기준SD!$C$2:$C$500,$A10))</f>
        <v>0.003</v>
      </c>
      <c r="R10" s="32" t="n">
        <f aca="false">IF(COUNTIFS(기준SD!$E$2:$E$500,$B$1&amp;"|"&amp;R$3,기준SD!$C$2:$C$500,$A10)=0,"",SUMIFS(기준SD!$D$2:$D$500,기준SD!$E$2:$E$500,$B$1&amp;"|"&amp;R$3,기준SD!$C$2:$C$500,$A10))</f>
        <v>0.001</v>
      </c>
      <c r="S10" s="32" t="n">
        <f aca="false">IF(COUNTIFS(기준SD!$E$2:$E$500,$B$1&amp;"|"&amp;S$3,기준SD!$C$2:$C$500,$A10)=0,"",SUMIFS(기준SD!$D$2:$D$500,기준SD!$E$2:$E$500,$B$1&amp;"|"&amp;S$3,기준SD!$C$2:$C$500,$A10))</f>
        <v>0.001</v>
      </c>
    </row>
    <row r="11" customFormat="false" ht="15" hidden="false" customHeight="false" outlineLevel="0" collapsed="false">
      <c r="A11" s="31" t="n">
        <v>0.1</v>
      </c>
      <c r="B11" s="32" t="n">
        <f aca="false">IF(COUNTIFS(기준SD!$E$2:$E$500,$B$1&amp;"|"&amp;B$3,기준SD!$C$2:$C$500,$A11)=0,"",SUMIFS(기준SD!$D$2:$D$500,기준SD!$E$2:$E$500,$B$1&amp;"|"&amp;B$3,기준SD!$C$2:$C$500,$A11))</f>
        <v>0.002</v>
      </c>
      <c r="C11" s="32" t="n">
        <f aca="false">IF(COUNTIFS(기준SD!$E$2:$E$500,$B$1&amp;"|"&amp;C$3,기준SD!$C$2:$C$500,$A11)=0,"",SUMIFS(기준SD!$D$2:$D$500,기준SD!$E$2:$E$500,$B$1&amp;"|"&amp;C$3,기준SD!$C$2:$C$500,$A11))</f>
        <v>0.004</v>
      </c>
      <c r="D11" s="32" t="str">
        <f aca="false">IF(COUNTIFS(기준SD!$E$2:$E$500,$B$1&amp;"|"&amp;D$3,기준SD!$C$2:$C$500,$A11)=0,"",SUMIFS(기준SD!$D$2:$D$500,기준SD!$E$2:$E$500,$B$1&amp;"|"&amp;D$3,기준SD!$C$2:$C$500,$A11))</f>
        <v/>
      </c>
      <c r="E11" s="32" t="n">
        <f aca="false">IF(COUNTIFS(기준SD!$E$2:$E$500,$B$1&amp;"|"&amp;E$3,기준SD!$C$2:$C$500,$A11)=0,"",SUMIFS(기준SD!$D$2:$D$500,기준SD!$E$2:$E$500,$B$1&amp;"|"&amp;E$3,기준SD!$C$2:$C$500,$A11))</f>
        <v>0.005</v>
      </c>
      <c r="F11" s="32" t="n">
        <f aca="false">IF(COUNTIFS(기준SD!$E$2:$E$500,$B$1&amp;"|"&amp;F$3,기준SD!$C$2:$C$500,$A11)=0,"",SUMIFS(기준SD!$D$2:$D$500,기준SD!$E$2:$E$500,$B$1&amp;"|"&amp;F$3,기준SD!$C$2:$C$500,$A11))</f>
        <v>0.005</v>
      </c>
      <c r="G11" s="32" t="n">
        <f aca="false">IF(COUNTIFS(기준SD!$E$2:$E$500,$B$1&amp;"|"&amp;G$3,기준SD!$C$2:$C$500,$A11)=0,"",SUMIFS(기준SD!$D$2:$D$500,기준SD!$E$2:$E$500,$B$1&amp;"|"&amp;G$3,기준SD!$C$2:$C$500,$A11))</f>
        <v>0.003</v>
      </c>
      <c r="H11" s="32" t="n">
        <f aca="false">IF(COUNTIFS(기준SD!$E$2:$E$500,$B$1&amp;"|"&amp;H$3,기준SD!$C$2:$C$500,$A11)=0,"",SUMIFS(기준SD!$D$2:$D$500,기준SD!$E$2:$E$500,$B$1&amp;"|"&amp;H$3,기준SD!$C$2:$C$500,$A11))</f>
        <v>0.002</v>
      </c>
      <c r="I11" s="32" t="n">
        <f aca="false">IF(COUNTIFS(기준SD!$E$2:$E$500,$B$1&amp;"|"&amp;I$3,기준SD!$C$2:$C$500,$A11)=0,"",SUMIFS(기준SD!$D$2:$D$500,기준SD!$E$2:$E$500,$B$1&amp;"|"&amp;I$3,기준SD!$C$2:$C$500,$A11))</f>
        <v>0.002</v>
      </c>
      <c r="J11" s="32" t="n">
        <f aca="false">IF(COUNTIFS(기준SD!$E$2:$E$500,$B$1&amp;"|"&amp;J$3,기준SD!$C$2:$C$500,$A11)=0,"",SUMIFS(기준SD!$D$2:$D$500,기준SD!$E$2:$E$500,$B$1&amp;"|"&amp;J$3,기준SD!$C$2:$C$500,$A11))</f>
        <v>0.008</v>
      </c>
      <c r="K11" s="32" t="n">
        <f aca="false">IF(COUNTIFS(기준SD!$E$2:$E$500,$B$1&amp;"|"&amp;K$3,기준SD!$C$2:$C$500,$A11)=0,"",SUMIFS(기준SD!$D$2:$D$500,기준SD!$E$2:$E$500,$B$1&amp;"|"&amp;K$3,기준SD!$C$2:$C$500,$A11))</f>
        <v>0.001</v>
      </c>
      <c r="L11" s="32" t="n">
        <f aca="false">IF(COUNTIFS(기준SD!$E$2:$E$500,$B$1&amp;"|"&amp;L$3,기준SD!$C$2:$C$500,$A11)=0,"",SUMIFS(기준SD!$D$2:$D$500,기준SD!$E$2:$E$500,$B$1&amp;"|"&amp;L$3,기준SD!$C$2:$C$500,$A11))</f>
        <v>0.002</v>
      </c>
      <c r="M11" s="32" t="n">
        <f aca="false">IF(COUNTIFS(기준SD!$E$2:$E$500,$B$1&amp;"|"&amp;M$3,기준SD!$C$2:$C$500,$A11)=0,"",SUMIFS(기준SD!$D$2:$D$500,기준SD!$E$2:$E$500,$B$1&amp;"|"&amp;M$3,기준SD!$C$2:$C$500,$A11))</f>
        <v>0.002</v>
      </c>
      <c r="N11" s="32" t="n">
        <f aca="false">IF(COUNTIFS(기준SD!$E$2:$E$500,$B$1&amp;"|"&amp;N$3,기준SD!$C$2:$C$500,$A11)=0,"",SUMIFS(기준SD!$D$2:$D$500,기준SD!$E$2:$E$500,$B$1&amp;"|"&amp;N$3,기준SD!$C$2:$C$500,$A11))</f>
        <v>0.001</v>
      </c>
      <c r="O11" s="32" t="n">
        <f aca="false">IF(COUNTIFS(기준SD!$E$2:$E$500,$B$1&amp;"|"&amp;O$3,기준SD!$C$2:$C$500,$A11)=0,"",SUMIFS(기준SD!$D$2:$D$500,기준SD!$E$2:$E$500,$B$1&amp;"|"&amp;O$3,기준SD!$C$2:$C$500,$A11))</f>
        <v>0.005</v>
      </c>
      <c r="P11" s="32" t="str">
        <f aca="false">IF(COUNTIFS(기준SD!$E$2:$E$500,$B$1&amp;"|"&amp;P$3,기준SD!$C$2:$C$500,$A11)=0,"",SUMIFS(기준SD!$D$2:$D$500,기준SD!$E$2:$E$500,$B$1&amp;"|"&amp;P$3,기준SD!$C$2:$C$500,$A11))</f>
        <v/>
      </c>
      <c r="Q11" s="32" t="n">
        <f aca="false">IF(COUNTIFS(기준SD!$E$2:$E$500,$B$1&amp;"|"&amp;Q$3,기준SD!$C$2:$C$500,$A11)=0,"",SUMIFS(기준SD!$D$2:$D$500,기준SD!$E$2:$E$500,$B$1&amp;"|"&amp;Q$3,기준SD!$C$2:$C$500,$A11))</f>
        <v>0.01</v>
      </c>
      <c r="R11" s="32" t="n">
        <f aca="false">IF(COUNTIFS(기준SD!$E$2:$E$500,$B$1&amp;"|"&amp;R$3,기준SD!$C$2:$C$500,$A11)=0,"",SUMIFS(기준SD!$D$2:$D$500,기준SD!$E$2:$E$500,$B$1&amp;"|"&amp;R$3,기준SD!$C$2:$C$500,$A11))</f>
        <v>0.002</v>
      </c>
      <c r="S11" s="32" t="str">
        <f aca="false">IF(COUNTIFS(기준SD!$E$2:$E$500,$B$1&amp;"|"&amp;S$3,기준SD!$C$2:$C$500,$A11)=0,"",SUMIFS(기준SD!$D$2:$D$500,기준SD!$E$2:$E$500,$B$1&amp;"|"&amp;S$3,기준SD!$C$2:$C$500,$A11))</f>
        <v/>
      </c>
    </row>
    <row r="12" customFormat="false" ht="15" hidden="false" customHeight="false" outlineLevel="0" collapsed="false">
      <c r="A12" s="31" t="n">
        <v>0.3</v>
      </c>
      <c r="B12" s="32" t="n">
        <f aca="false">IF(COUNTIFS(기준SD!$E$2:$E$500,$B$1&amp;"|"&amp;B$3,기준SD!$C$2:$C$500,$A12)=0,"",SUMIFS(기준SD!$D$2:$D$500,기준SD!$E$2:$E$500,$B$1&amp;"|"&amp;B$3,기준SD!$C$2:$C$500,$A12))</f>
        <v>0.004</v>
      </c>
      <c r="C12" s="32" t="str">
        <f aca="false">IF(COUNTIFS(기준SD!$E$2:$E$500,$B$1&amp;"|"&amp;C$3,기준SD!$C$2:$C$500,$A12)=0,"",SUMIFS(기준SD!$D$2:$D$500,기준SD!$E$2:$E$500,$B$1&amp;"|"&amp;C$3,기준SD!$C$2:$C$500,$A12))</f>
        <v/>
      </c>
      <c r="D12" s="32" t="str">
        <f aca="false">IF(COUNTIFS(기준SD!$E$2:$E$500,$B$1&amp;"|"&amp;D$3,기준SD!$C$2:$C$500,$A12)=0,"",SUMIFS(기준SD!$D$2:$D$500,기준SD!$E$2:$E$500,$B$1&amp;"|"&amp;D$3,기준SD!$C$2:$C$500,$A12))</f>
        <v/>
      </c>
      <c r="E12" s="32" t="n">
        <f aca="false">IF(COUNTIFS(기준SD!$E$2:$E$500,$B$1&amp;"|"&amp;E$3,기준SD!$C$2:$C$500,$A12)=0,"",SUMIFS(기준SD!$D$2:$D$500,기준SD!$E$2:$E$500,$B$1&amp;"|"&amp;E$3,기준SD!$C$2:$C$500,$A12))</f>
        <v>0.01</v>
      </c>
      <c r="F12" s="32" t="n">
        <f aca="false">IF(COUNTIFS(기준SD!$E$2:$E$500,$B$1&amp;"|"&amp;F$3,기준SD!$C$2:$C$500,$A12)=0,"",SUMIFS(기준SD!$D$2:$D$500,기준SD!$E$2:$E$500,$B$1&amp;"|"&amp;F$3,기준SD!$C$2:$C$500,$A12))</f>
        <v>0.01</v>
      </c>
      <c r="G12" s="32" t="n">
        <f aca="false">IF(COUNTIFS(기준SD!$E$2:$E$500,$B$1&amp;"|"&amp;G$3,기준SD!$C$2:$C$500,$A12)=0,"",SUMIFS(기준SD!$D$2:$D$500,기준SD!$E$2:$E$500,$B$1&amp;"|"&amp;G$3,기준SD!$C$2:$C$500,$A12))</f>
        <v>0.003</v>
      </c>
      <c r="H12" s="32" t="n">
        <f aca="false">IF(COUNTIFS(기준SD!$E$2:$E$500,$B$1&amp;"|"&amp;H$3,기준SD!$C$2:$C$500,$A12)=0,"",SUMIFS(기준SD!$D$2:$D$500,기준SD!$E$2:$E$500,$B$1&amp;"|"&amp;H$3,기준SD!$C$2:$C$500,$A12))</f>
        <v>0.003</v>
      </c>
      <c r="I12" s="32" t="n">
        <f aca="false">IF(COUNTIFS(기준SD!$E$2:$E$500,$B$1&amp;"|"&amp;I$3,기준SD!$C$2:$C$500,$A12)=0,"",SUMIFS(기준SD!$D$2:$D$500,기준SD!$E$2:$E$500,$B$1&amp;"|"&amp;I$3,기준SD!$C$2:$C$500,$A12))</f>
        <v>0.001</v>
      </c>
      <c r="J12" s="32" t="str">
        <f aca="false">IF(COUNTIFS(기준SD!$E$2:$E$500,$B$1&amp;"|"&amp;J$3,기준SD!$C$2:$C$500,$A12)=0,"",SUMIFS(기준SD!$D$2:$D$500,기준SD!$E$2:$E$500,$B$1&amp;"|"&amp;J$3,기준SD!$C$2:$C$500,$A12))</f>
        <v/>
      </c>
      <c r="K12" s="32" t="n">
        <f aca="false">IF(COUNTIFS(기준SD!$E$2:$E$500,$B$1&amp;"|"&amp;K$3,기준SD!$C$2:$C$500,$A12)=0,"",SUMIFS(기준SD!$D$2:$D$500,기준SD!$E$2:$E$500,$B$1&amp;"|"&amp;K$3,기준SD!$C$2:$C$500,$A12))</f>
        <v>0.002</v>
      </c>
      <c r="L12" s="32" t="n">
        <f aca="false">IF(COUNTIFS(기준SD!$E$2:$E$500,$B$1&amp;"|"&amp;L$3,기준SD!$C$2:$C$500,$A12)=0,"",SUMIFS(기준SD!$D$2:$D$500,기준SD!$E$2:$E$500,$B$1&amp;"|"&amp;L$3,기준SD!$C$2:$C$500,$A12))</f>
        <v>0.002</v>
      </c>
      <c r="M12" s="32" t="n">
        <f aca="false">IF(COUNTIFS(기준SD!$E$2:$E$500,$B$1&amp;"|"&amp;M$3,기준SD!$C$2:$C$500,$A12)=0,"",SUMIFS(기준SD!$D$2:$D$500,기준SD!$E$2:$E$500,$B$1&amp;"|"&amp;M$3,기준SD!$C$2:$C$500,$A12))</f>
        <v>0.004</v>
      </c>
      <c r="N12" s="32" t="str">
        <f aca="false">IF(COUNTIFS(기준SD!$E$2:$E$500,$B$1&amp;"|"&amp;N$3,기준SD!$C$2:$C$500,$A12)=0,"",SUMIFS(기준SD!$D$2:$D$500,기준SD!$E$2:$E$500,$B$1&amp;"|"&amp;N$3,기준SD!$C$2:$C$500,$A12))</f>
        <v/>
      </c>
      <c r="O12" s="32" t="str">
        <f aca="false">IF(COUNTIFS(기준SD!$E$2:$E$500,$B$1&amp;"|"&amp;O$3,기준SD!$C$2:$C$500,$A12)=0,"",SUMIFS(기준SD!$D$2:$D$500,기준SD!$E$2:$E$500,$B$1&amp;"|"&amp;O$3,기준SD!$C$2:$C$500,$A12))</f>
        <v/>
      </c>
      <c r="P12" s="32" t="str">
        <f aca="false">IF(COUNTIFS(기준SD!$E$2:$E$500,$B$1&amp;"|"&amp;P$3,기준SD!$C$2:$C$500,$A12)=0,"",SUMIFS(기준SD!$D$2:$D$500,기준SD!$E$2:$E$500,$B$1&amp;"|"&amp;P$3,기준SD!$C$2:$C$500,$A12))</f>
        <v/>
      </c>
      <c r="Q12" s="32" t="n">
        <f aca="false">IF(COUNTIFS(기준SD!$E$2:$E$500,$B$1&amp;"|"&amp;Q$3,기준SD!$C$2:$C$500,$A12)=0,"",SUMIFS(기준SD!$D$2:$D$500,기준SD!$E$2:$E$500,$B$1&amp;"|"&amp;Q$3,기준SD!$C$2:$C$500,$A12))</f>
        <v>0.03</v>
      </c>
      <c r="R12" s="32" t="n">
        <f aca="false">IF(COUNTIFS(기준SD!$E$2:$E$500,$B$1&amp;"|"&amp;R$3,기준SD!$C$2:$C$500,$A12)=0,"",SUMIFS(기준SD!$D$2:$D$500,기준SD!$E$2:$E$500,$B$1&amp;"|"&amp;R$3,기준SD!$C$2:$C$500,$A12))</f>
        <v>0.004</v>
      </c>
      <c r="S12" s="32" t="str">
        <f aca="false">IF(COUNTIFS(기준SD!$E$2:$E$500,$B$1&amp;"|"&amp;S$3,기준SD!$C$2:$C$500,$A12)=0,"",SUMIFS(기준SD!$D$2:$D$500,기준SD!$E$2:$E$500,$B$1&amp;"|"&amp;S$3,기준SD!$C$2:$C$500,$A12))</f>
        <v/>
      </c>
    </row>
    <row r="13" customFormat="false" ht="15" hidden="false" customHeight="false" outlineLevel="0" collapsed="false">
      <c r="A13" s="31" t="n">
        <v>0.5</v>
      </c>
      <c r="B13" s="32" t="n">
        <f aca="false">IF(COUNTIFS(기준SD!$E$2:$E$500,$B$1&amp;"|"&amp;B$3,기준SD!$C$2:$C$500,$A13)=0,"",SUMIFS(기준SD!$D$2:$D$500,기준SD!$E$2:$E$500,$B$1&amp;"|"&amp;B$3,기준SD!$C$2:$C$500,$A13))</f>
        <v>0.005</v>
      </c>
      <c r="C13" s="32" t="str">
        <f aca="false">IF(COUNTIFS(기준SD!$E$2:$E$500,$B$1&amp;"|"&amp;C$3,기준SD!$C$2:$C$500,$A13)=0,"",SUMIFS(기준SD!$D$2:$D$500,기준SD!$E$2:$E$500,$B$1&amp;"|"&amp;C$3,기준SD!$C$2:$C$500,$A13))</f>
        <v/>
      </c>
      <c r="D13" s="32" t="str">
        <f aca="false">IF(COUNTIFS(기준SD!$E$2:$E$500,$B$1&amp;"|"&amp;D$3,기준SD!$C$2:$C$500,$A13)=0,"",SUMIFS(기준SD!$D$2:$D$500,기준SD!$E$2:$E$500,$B$1&amp;"|"&amp;D$3,기준SD!$C$2:$C$500,$A13))</f>
        <v/>
      </c>
      <c r="E13" s="32" t="n">
        <f aca="false">IF(COUNTIFS(기준SD!$E$2:$E$500,$B$1&amp;"|"&amp;E$3,기준SD!$C$2:$C$500,$A13)=0,"",SUMIFS(기준SD!$D$2:$D$500,기준SD!$E$2:$E$500,$B$1&amp;"|"&amp;E$3,기준SD!$C$2:$C$500,$A13))</f>
        <v>0.012</v>
      </c>
      <c r="F13" s="32" t="n">
        <f aca="false">IF(COUNTIFS(기준SD!$E$2:$E$500,$B$1&amp;"|"&amp;F$3,기준SD!$C$2:$C$500,$A13)=0,"",SUMIFS(기준SD!$D$2:$D$500,기준SD!$E$2:$E$500,$B$1&amp;"|"&amp;F$3,기준SD!$C$2:$C$500,$A13))</f>
        <v>0.012</v>
      </c>
      <c r="G13" s="32" t="n">
        <f aca="false">IF(COUNTIFS(기준SD!$E$2:$E$500,$B$1&amp;"|"&amp;G$3,기준SD!$C$2:$C$500,$A13)=0,"",SUMIFS(기준SD!$D$2:$D$500,기준SD!$E$2:$E$500,$B$1&amp;"|"&amp;G$3,기준SD!$C$2:$C$500,$A13))</f>
        <v>0.005</v>
      </c>
      <c r="H13" s="32" t="n">
        <f aca="false">IF(COUNTIFS(기준SD!$E$2:$E$500,$B$1&amp;"|"&amp;H$3,기준SD!$C$2:$C$500,$A13)=0,"",SUMIFS(기준SD!$D$2:$D$500,기준SD!$E$2:$E$500,$B$1&amp;"|"&amp;H$3,기준SD!$C$2:$C$500,$A13))</f>
        <v>0.005</v>
      </c>
      <c r="I13" s="32" t="n">
        <f aca="false">IF(COUNTIFS(기준SD!$E$2:$E$500,$B$1&amp;"|"&amp;I$3,기준SD!$C$2:$C$500,$A13)=0,"",SUMIFS(기준SD!$D$2:$D$500,기준SD!$E$2:$E$500,$B$1&amp;"|"&amp;I$3,기준SD!$C$2:$C$500,$A13))</f>
        <v>0.004</v>
      </c>
      <c r="J13" s="32" t="str">
        <f aca="false">IF(COUNTIFS(기준SD!$E$2:$E$500,$B$1&amp;"|"&amp;J$3,기준SD!$C$2:$C$500,$A13)=0,"",SUMIFS(기준SD!$D$2:$D$500,기준SD!$E$2:$E$500,$B$1&amp;"|"&amp;J$3,기준SD!$C$2:$C$500,$A13))</f>
        <v/>
      </c>
      <c r="K13" s="32" t="n">
        <f aca="false">IF(COUNTIFS(기준SD!$E$2:$E$500,$B$1&amp;"|"&amp;K$3,기준SD!$C$2:$C$500,$A13)=0,"",SUMIFS(기준SD!$D$2:$D$500,기준SD!$E$2:$E$500,$B$1&amp;"|"&amp;K$3,기준SD!$C$2:$C$500,$A13))</f>
        <v>0.006</v>
      </c>
      <c r="L13" s="32" t="n">
        <f aca="false">IF(COUNTIFS(기준SD!$E$2:$E$500,$B$1&amp;"|"&amp;L$3,기준SD!$C$2:$C$500,$A13)=0,"",SUMIFS(기준SD!$D$2:$D$500,기준SD!$E$2:$E$500,$B$1&amp;"|"&amp;L$3,기준SD!$C$2:$C$500,$A13))</f>
        <v>0.005</v>
      </c>
      <c r="M13" s="32" t="n">
        <f aca="false">IF(COUNTIFS(기준SD!$E$2:$E$500,$B$1&amp;"|"&amp;M$3,기준SD!$C$2:$C$500,$A13)=0,"",SUMIFS(기준SD!$D$2:$D$500,기준SD!$E$2:$E$500,$B$1&amp;"|"&amp;M$3,기준SD!$C$2:$C$500,$A13))</f>
        <v>0.006</v>
      </c>
      <c r="N13" s="32" t="n">
        <f aca="false">IF(COUNTIFS(기준SD!$E$2:$E$500,$B$1&amp;"|"&amp;N$3,기준SD!$C$2:$C$500,$A13)=0,"",SUMIFS(기준SD!$D$2:$D$500,기준SD!$E$2:$E$500,$B$1&amp;"|"&amp;N$3,기준SD!$C$2:$C$500,$A13))</f>
        <v>0.004</v>
      </c>
      <c r="O13" s="32" t="str">
        <f aca="false">IF(COUNTIFS(기준SD!$E$2:$E$500,$B$1&amp;"|"&amp;O$3,기준SD!$C$2:$C$500,$A13)=0,"",SUMIFS(기준SD!$D$2:$D$500,기준SD!$E$2:$E$500,$B$1&amp;"|"&amp;O$3,기준SD!$C$2:$C$500,$A13))</f>
        <v/>
      </c>
      <c r="P13" s="32" t="str">
        <f aca="false">IF(COUNTIFS(기준SD!$E$2:$E$500,$B$1&amp;"|"&amp;P$3,기준SD!$C$2:$C$500,$A13)=0,"",SUMIFS(기준SD!$D$2:$D$500,기준SD!$E$2:$E$500,$B$1&amp;"|"&amp;P$3,기준SD!$C$2:$C$500,$A13))</f>
        <v/>
      </c>
      <c r="Q13" s="32" t="str">
        <f aca="false">IF(COUNTIFS(기준SD!$E$2:$E$500,$B$1&amp;"|"&amp;Q$3,기준SD!$C$2:$C$500,$A13)=0,"",SUMIFS(기준SD!$D$2:$D$500,기준SD!$E$2:$E$500,$B$1&amp;"|"&amp;Q$3,기준SD!$C$2:$C$500,$A13))</f>
        <v/>
      </c>
      <c r="R13" s="32" t="n">
        <f aca="false">IF(COUNTIFS(기준SD!$E$2:$E$500,$B$1&amp;"|"&amp;R$3,기준SD!$C$2:$C$500,$A13)=0,"",SUMIFS(기준SD!$D$2:$D$500,기준SD!$E$2:$E$500,$B$1&amp;"|"&amp;R$3,기준SD!$C$2:$C$500,$A13))</f>
        <v>0.007</v>
      </c>
      <c r="S13" s="32" t="str">
        <f aca="false">IF(COUNTIFS(기준SD!$E$2:$E$500,$B$1&amp;"|"&amp;S$3,기준SD!$C$2:$C$500,$A13)=0,"",SUMIFS(기준SD!$D$2:$D$500,기준SD!$E$2:$E$500,$B$1&amp;"|"&amp;S$3,기준SD!$C$2:$C$500,$A13))</f>
        <v/>
      </c>
    </row>
    <row r="14" customFormat="false" ht="15" hidden="false" customHeight="false" outlineLevel="0" collapsed="false">
      <c r="A14" s="31" t="n">
        <v>1</v>
      </c>
      <c r="B14" s="32" t="str">
        <f aca="false">IF(COUNTIFS(기준SD!$E$2:$E$500,$B$1&amp;"|"&amp;B$3,기준SD!$C$2:$C$500,$A14)=0,"",SUMIFS(기준SD!$D$2:$D$500,기준SD!$E$2:$E$500,$B$1&amp;"|"&amp;B$3,기준SD!$C$2:$C$500,$A14))</f>
        <v/>
      </c>
      <c r="C14" s="32" t="str">
        <f aca="false">IF(COUNTIFS(기준SD!$E$2:$E$500,$B$1&amp;"|"&amp;C$3,기준SD!$C$2:$C$500,$A14)=0,"",SUMIFS(기준SD!$D$2:$D$500,기준SD!$E$2:$E$500,$B$1&amp;"|"&amp;C$3,기준SD!$C$2:$C$500,$A14))</f>
        <v/>
      </c>
      <c r="D14" s="32" t="str">
        <f aca="false">IF(COUNTIFS(기준SD!$E$2:$E$500,$B$1&amp;"|"&amp;D$3,기준SD!$C$2:$C$500,$A14)=0,"",SUMIFS(기준SD!$D$2:$D$500,기준SD!$E$2:$E$500,$B$1&amp;"|"&amp;D$3,기준SD!$C$2:$C$500,$A14))</f>
        <v/>
      </c>
      <c r="E14" s="32" t="n">
        <f aca="false">IF(COUNTIFS(기준SD!$E$2:$E$500,$B$1&amp;"|"&amp;E$3,기준SD!$C$2:$C$500,$A14)=0,"",SUMIFS(기준SD!$D$2:$D$500,기준SD!$E$2:$E$500,$B$1&amp;"|"&amp;E$3,기준SD!$C$2:$C$500,$A14))</f>
        <v>0.015</v>
      </c>
      <c r="F14" s="32" t="n">
        <f aca="false">IF(COUNTIFS(기준SD!$E$2:$E$500,$B$1&amp;"|"&amp;F$3,기준SD!$C$2:$C$500,$A14)=0,"",SUMIFS(기준SD!$D$2:$D$500,기준SD!$E$2:$E$500,$B$1&amp;"|"&amp;F$3,기준SD!$C$2:$C$500,$A14))</f>
        <v>0.015</v>
      </c>
      <c r="G14" s="32" t="str">
        <f aca="false">IF(COUNTIFS(기준SD!$E$2:$E$500,$B$1&amp;"|"&amp;G$3,기준SD!$C$2:$C$500,$A14)=0,"",SUMIFS(기준SD!$D$2:$D$500,기준SD!$E$2:$E$500,$B$1&amp;"|"&amp;G$3,기준SD!$C$2:$C$500,$A14))</f>
        <v/>
      </c>
      <c r="H14" s="32" t="n">
        <f aca="false">IF(COUNTIFS(기준SD!$E$2:$E$500,$B$1&amp;"|"&amp;H$3,기준SD!$C$2:$C$500,$A14)=0,"",SUMIFS(기준SD!$D$2:$D$500,기준SD!$E$2:$E$500,$B$1&amp;"|"&amp;H$3,기준SD!$C$2:$C$500,$A14))</f>
        <v>0.007</v>
      </c>
      <c r="I14" s="32" t="n">
        <f aca="false">IF(COUNTIFS(기준SD!$E$2:$E$500,$B$1&amp;"|"&amp;I$3,기준SD!$C$2:$C$500,$A14)=0,"",SUMIFS(기준SD!$D$2:$D$500,기준SD!$E$2:$E$500,$B$1&amp;"|"&amp;I$3,기준SD!$C$2:$C$500,$A14))</f>
        <v>0.01</v>
      </c>
      <c r="J14" s="32" t="str">
        <f aca="false">IF(COUNTIFS(기준SD!$E$2:$E$500,$B$1&amp;"|"&amp;J$3,기준SD!$C$2:$C$500,$A14)=0,"",SUMIFS(기준SD!$D$2:$D$500,기준SD!$E$2:$E$500,$B$1&amp;"|"&amp;J$3,기준SD!$C$2:$C$500,$A14))</f>
        <v/>
      </c>
      <c r="K14" s="32" t="n">
        <f aca="false">IF(COUNTIFS(기준SD!$E$2:$E$500,$B$1&amp;"|"&amp;K$3,기준SD!$C$2:$C$500,$A14)=0,"",SUMIFS(기준SD!$D$2:$D$500,기준SD!$E$2:$E$500,$B$1&amp;"|"&amp;K$3,기준SD!$C$2:$C$500,$A14))</f>
        <v>0.012</v>
      </c>
      <c r="L14" s="32" t="n">
        <f aca="false">IF(COUNTIFS(기준SD!$E$2:$E$500,$B$1&amp;"|"&amp;L$3,기준SD!$C$2:$C$500,$A14)=0,"",SUMIFS(기준SD!$D$2:$D$500,기준SD!$E$2:$E$500,$B$1&amp;"|"&amp;L$3,기준SD!$C$2:$C$500,$A14))</f>
        <v>0.013</v>
      </c>
      <c r="M14" s="32" t="n">
        <f aca="false">IF(COUNTIFS(기준SD!$E$2:$E$500,$B$1&amp;"|"&amp;M$3,기준SD!$C$2:$C$500,$A14)=0,"",SUMIFS(기준SD!$D$2:$D$500,기준SD!$E$2:$E$500,$B$1&amp;"|"&amp;M$3,기준SD!$C$2:$C$500,$A14))</f>
        <v>0.01</v>
      </c>
      <c r="N14" s="32" t="n">
        <f aca="false">IF(COUNTIFS(기준SD!$E$2:$E$500,$B$1&amp;"|"&amp;N$3,기준SD!$C$2:$C$500,$A14)=0,"",SUMIFS(기준SD!$D$2:$D$500,기준SD!$E$2:$E$500,$B$1&amp;"|"&amp;N$3,기준SD!$C$2:$C$500,$A14))</f>
        <v>0.004</v>
      </c>
      <c r="O14" s="32" t="str">
        <f aca="false">IF(COUNTIFS(기준SD!$E$2:$E$500,$B$1&amp;"|"&amp;O$3,기준SD!$C$2:$C$500,$A14)=0,"",SUMIFS(기준SD!$D$2:$D$500,기준SD!$E$2:$E$500,$B$1&amp;"|"&amp;O$3,기준SD!$C$2:$C$500,$A14))</f>
        <v/>
      </c>
      <c r="P14" s="32" t="str">
        <f aca="false">IF(COUNTIFS(기준SD!$E$2:$E$500,$B$1&amp;"|"&amp;P$3,기준SD!$C$2:$C$500,$A14)=0,"",SUMIFS(기준SD!$D$2:$D$500,기준SD!$E$2:$E$500,$B$1&amp;"|"&amp;P$3,기준SD!$C$2:$C$500,$A14))</f>
        <v/>
      </c>
      <c r="Q14" s="32" t="str">
        <f aca="false">IF(COUNTIFS(기준SD!$E$2:$E$500,$B$1&amp;"|"&amp;Q$3,기준SD!$C$2:$C$500,$A14)=0,"",SUMIFS(기준SD!$D$2:$D$500,기준SD!$E$2:$E$500,$B$1&amp;"|"&amp;Q$3,기준SD!$C$2:$C$500,$A14))</f>
        <v/>
      </c>
      <c r="R14" s="32" t="n">
        <f aca="false">IF(COUNTIFS(기준SD!$E$2:$E$500,$B$1&amp;"|"&amp;R$3,기준SD!$C$2:$C$500,$A14)=0,"",SUMIFS(기준SD!$D$2:$D$500,기준SD!$E$2:$E$500,$B$1&amp;"|"&amp;R$3,기준SD!$C$2:$C$500,$A14))</f>
        <v>0.012</v>
      </c>
      <c r="S14" s="32" t="str">
        <f aca="false">IF(COUNTIFS(기준SD!$E$2:$E$500,$B$1&amp;"|"&amp;S$3,기준SD!$C$2:$C$500,$A14)=0,"",SUMIFS(기준SD!$D$2:$D$500,기준SD!$E$2:$E$500,$B$1&amp;"|"&amp;S$3,기준SD!$C$2:$C$500,$A14))</f>
        <v/>
      </c>
    </row>
    <row r="15" customFormat="false" ht="15" hidden="false" customHeight="false" outlineLevel="0" collapsed="false">
      <c r="A15" s="31" t="n">
        <v>2</v>
      </c>
      <c r="B15" s="32" t="str">
        <f aca="false">IF(COUNTIFS(기준SD!$E$2:$E$500,$B$1&amp;"|"&amp;B$3,기준SD!$C$2:$C$500,$A15)=0,"",SUMIFS(기준SD!$D$2:$D$500,기준SD!$E$2:$E$500,$B$1&amp;"|"&amp;B$3,기준SD!$C$2:$C$500,$A15))</f>
        <v/>
      </c>
      <c r="C15" s="32" t="str">
        <f aca="false">IF(COUNTIFS(기준SD!$E$2:$E$500,$B$1&amp;"|"&amp;C$3,기준SD!$C$2:$C$500,$A15)=0,"",SUMIFS(기준SD!$D$2:$D$500,기준SD!$E$2:$E$500,$B$1&amp;"|"&amp;C$3,기준SD!$C$2:$C$500,$A15))</f>
        <v/>
      </c>
      <c r="D15" s="32" t="str">
        <f aca="false">IF(COUNTIFS(기준SD!$E$2:$E$500,$B$1&amp;"|"&amp;D$3,기준SD!$C$2:$C$500,$A15)=0,"",SUMIFS(기준SD!$D$2:$D$500,기준SD!$E$2:$E$500,$B$1&amp;"|"&amp;D$3,기준SD!$C$2:$C$500,$A15))</f>
        <v/>
      </c>
      <c r="E15" s="32" t="n">
        <f aca="false">IF(COUNTIFS(기준SD!$E$2:$E$500,$B$1&amp;"|"&amp;E$3,기준SD!$C$2:$C$500,$A15)=0,"",SUMIFS(기준SD!$D$2:$D$500,기준SD!$E$2:$E$500,$B$1&amp;"|"&amp;E$3,기준SD!$C$2:$C$500,$A15))</f>
        <v>0.044</v>
      </c>
      <c r="F15" s="32" t="n">
        <f aca="false">IF(COUNTIFS(기준SD!$E$2:$E$500,$B$1&amp;"|"&amp;F$3,기준SD!$C$2:$C$500,$A15)=0,"",SUMIFS(기준SD!$D$2:$D$500,기준SD!$E$2:$E$500,$B$1&amp;"|"&amp;F$3,기준SD!$C$2:$C$500,$A15))</f>
        <v>0.044</v>
      </c>
      <c r="G15" s="32" t="str">
        <f aca="false">IF(COUNTIFS(기준SD!$E$2:$E$500,$B$1&amp;"|"&amp;G$3,기준SD!$C$2:$C$500,$A15)=0,"",SUMIFS(기준SD!$D$2:$D$500,기준SD!$E$2:$E$500,$B$1&amp;"|"&amp;G$3,기준SD!$C$2:$C$500,$A15))</f>
        <v/>
      </c>
      <c r="H15" s="32" t="n">
        <f aca="false">IF(COUNTIFS(기준SD!$E$2:$E$500,$B$1&amp;"|"&amp;H$3,기준SD!$C$2:$C$500,$A15)=0,"",SUMIFS(기준SD!$D$2:$D$500,기준SD!$E$2:$E$500,$B$1&amp;"|"&amp;H$3,기준SD!$C$2:$C$500,$A15))</f>
        <v>0.008</v>
      </c>
      <c r="I15" s="32" t="n">
        <f aca="false">IF(COUNTIFS(기준SD!$E$2:$E$500,$B$1&amp;"|"&amp;I$3,기준SD!$C$2:$C$500,$A15)=0,"",SUMIFS(기준SD!$D$2:$D$500,기준SD!$E$2:$E$500,$B$1&amp;"|"&amp;I$3,기준SD!$C$2:$C$500,$A15))</f>
        <v>0.012</v>
      </c>
      <c r="J15" s="32" t="str">
        <f aca="false">IF(COUNTIFS(기준SD!$E$2:$E$500,$B$1&amp;"|"&amp;J$3,기준SD!$C$2:$C$500,$A15)=0,"",SUMIFS(기준SD!$D$2:$D$500,기준SD!$E$2:$E$500,$B$1&amp;"|"&amp;J$3,기준SD!$C$2:$C$500,$A15))</f>
        <v/>
      </c>
      <c r="K15" s="32" t="n">
        <f aca="false">IF(COUNTIFS(기준SD!$E$2:$E$500,$B$1&amp;"|"&amp;K$3,기준SD!$C$2:$C$500,$A15)=0,"",SUMIFS(기준SD!$D$2:$D$500,기준SD!$E$2:$E$500,$B$1&amp;"|"&amp;K$3,기준SD!$C$2:$C$500,$A15))</f>
        <v>0.02</v>
      </c>
      <c r="L15" s="32" t="n">
        <f aca="false">IF(COUNTIFS(기준SD!$E$2:$E$500,$B$1&amp;"|"&amp;L$3,기준SD!$C$2:$C$500,$A15)=0,"",SUMIFS(기준SD!$D$2:$D$500,기준SD!$E$2:$E$500,$B$1&amp;"|"&amp;L$3,기준SD!$C$2:$C$500,$A15))</f>
        <v>0.016</v>
      </c>
      <c r="M15" s="32" t="n">
        <f aca="false">IF(COUNTIFS(기준SD!$E$2:$E$500,$B$1&amp;"|"&amp;M$3,기준SD!$C$2:$C$500,$A15)=0,"",SUMIFS(기준SD!$D$2:$D$500,기준SD!$E$2:$E$500,$B$1&amp;"|"&amp;M$3,기준SD!$C$2:$C$500,$A15))</f>
        <v>0.02</v>
      </c>
      <c r="N15" s="32" t="n">
        <f aca="false">IF(COUNTIFS(기준SD!$E$2:$E$500,$B$1&amp;"|"&amp;N$3,기준SD!$C$2:$C$500,$A15)=0,"",SUMIFS(기준SD!$D$2:$D$500,기준SD!$E$2:$E$500,$B$1&amp;"|"&amp;N$3,기준SD!$C$2:$C$500,$A15))</f>
        <v>0.025</v>
      </c>
      <c r="O15" s="32" t="str">
        <f aca="false">IF(COUNTIFS(기준SD!$E$2:$E$500,$B$1&amp;"|"&amp;O$3,기준SD!$C$2:$C$500,$A15)=0,"",SUMIFS(기준SD!$D$2:$D$500,기준SD!$E$2:$E$500,$B$1&amp;"|"&amp;O$3,기준SD!$C$2:$C$500,$A15))</f>
        <v/>
      </c>
      <c r="P15" s="32" t="str">
        <f aca="false">IF(COUNTIFS(기준SD!$E$2:$E$500,$B$1&amp;"|"&amp;P$3,기준SD!$C$2:$C$500,$A15)=0,"",SUMIFS(기준SD!$D$2:$D$500,기준SD!$E$2:$E$500,$B$1&amp;"|"&amp;P$3,기준SD!$C$2:$C$500,$A15))</f>
        <v/>
      </c>
      <c r="Q15" s="32" t="str">
        <f aca="false">IF(COUNTIFS(기준SD!$E$2:$E$500,$B$1&amp;"|"&amp;Q$3,기준SD!$C$2:$C$500,$A15)=0,"",SUMIFS(기준SD!$D$2:$D$500,기준SD!$E$2:$E$500,$B$1&amp;"|"&amp;Q$3,기준SD!$C$2:$C$500,$A15))</f>
        <v/>
      </c>
      <c r="R15" s="32" t="n">
        <f aca="false">IF(COUNTIFS(기준SD!$E$2:$E$500,$B$1&amp;"|"&amp;R$3,기준SD!$C$2:$C$500,$A15)=0,"",SUMIFS(기준SD!$D$2:$D$500,기준SD!$E$2:$E$500,$B$1&amp;"|"&amp;R$3,기준SD!$C$2:$C$500,$A15))</f>
        <v>0.015</v>
      </c>
      <c r="S15" s="32" t="str">
        <f aca="false">IF(COUNTIFS(기준SD!$E$2:$E$500,$B$1&amp;"|"&amp;S$3,기준SD!$C$2:$C$500,$A15)=0,"",SUMIFS(기준SD!$D$2:$D$500,기준SD!$E$2:$E$500,$B$1&amp;"|"&amp;S$3,기준SD!$C$2:$C$500,$A15))</f>
        <v/>
      </c>
    </row>
    <row r="16" customFormat="false" ht="15" hidden="false" customHeight="false" outlineLevel="0" collapsed="false">
      <c r="A16" s="31" t="n">
        <v>5</v>
      </c>
      <c r="B16" s="32" t="str">
        <f aca="false">IF(COUNTIFS(기준SD!$E$2:$E$500,$B$1&amp;"|"&amp;B$3,기준SD!$C$2:$C$500,$A16)=0,"",SUMIFS(기준SD!$D$2:$D$500,기준SD!$E$2:$E$500,$B$1&amp;"|"&amp;B$3,기준SD!$C$2:$C$500,$A16))</f>
        <v/>
      </c>
      <c r="C16" s="32" t="str">
        <f aca="false">IF(COUNTIFS(기준SD!$E$2:$E$500,$B$1&amp;"|"&amp;C$3,기준SD!$C$2:$C$500,$A16)=0,"",SUMIFS(기준SD!$D$2:$D$500,기준SD!$E$2:$E$500,$B$1&amp;"|"&amp;C$3,기준SD!$C$2:$C$500,$A16))</f>
        <v/>
      </c>
      <c r="D16" s="32" t="str">
        <f aca="false">IF(COUNTIFS(기준SD!$E$2:$E$500,$B$1&amp;"|"&amp;D$3,기준SD!$C$2:$C$500,$A16)=0,"",SUMIFS(기준SD!$D$2:$D$500,기준SD!$E$2:$E$500,$B$1&amp;"|"&amp;D$3,기준SD!$C$2:$C$500,$A16))</f>
        <v/>
      </c>
      <c r="E16" s="32" t="n">
        <f aca="false">IF(COUNTIFS(기준SD!$E$2:$E$500,$B$1&amp;"|"&amp;E$3,기준SD!$C$2:$C$500,$A16)=0,"",SUMIFS(기준SD!$D$2:$D$500,기준SD!$E$2:$E$500,$B$1&amp;"|"&amp;E$3,기준SD!$C$2:$C$500,$A16))</f>
        <v>0.12</v>
      </c>
      <c r="F16" s="32" t="n">
        <f aca="false">IF(COUNTIFS(기준SD!$E$2:$E$500,$B$1&amp;"|"&amp;F$3,기준SD!$C$2:$C$500,$A16)=0,"",SUMIFS(기준SD!$D$2:$D$500,기준SD!$E$2:$E$500,$B$1&amp;"|"&amp;F$3,기준SD!$C$2:$C$500,$A16))</f>
        <v>0.12</v>
      </c>
      <c r="G16" s="32" t="n">
        <f aca="false">IF(COUNTIFS(기준SD!$E$2:$E$500,$B$1&amp;"|"&amp;G$3,기준SD!$C$2:$C$500,$A16)=0,"",SUMIFS(기준SD!$D$2:$D$500,기준SD!$E$2:$E$500,$B$1&amp;"|"&amp;G$3,기준SD!$C$2:$C$500,$A16))</f>
        <v>0.049</v>
      </c>
      <c r="H16" s="32" t="n">
        <f aca="false">IF(COUNTIFS(기준SD!$E$2:$E$500,$B$1&amp;"|"&amp;H$3,기준SD!$C$2:$C$500,$A16)=0,"",SUMIFS(기준SD!$D$2:$D$500,기준SD!$E$2:$E$500,$B$1&amp;"|"&amp;H$3,기준SD!$C$2:$C$500,$A16))</f>
        <v>0.028</v>
      </c>
      <c r="I16" s="32" t="n">
        <f aca="false">IF(COUNTIFS(기준SD!$E$2:$E$500,$B$1&amp;"|"&amp;I$3,기준SD!$C$2:$C$500,$A16)=0,"",SUMIFS(기준SD!$D$2:$D$500,기준SD!$E$2:$E$500,$B$1&amp;"|"&amp;I$3,기준SD!$C$2:$C$500,$A16))</f>
        <v>0.018</v>
      </c>
      <c r="J16" s="32" t="str">
        <f aca="false">IF(COUNTIFS(기준SD!$E$2:$E$500,$B$1&amp;"|"&amp;J$3,기준SD!$C$2:$C$500,$A16)=0,"",SUMIFS(기준SD!$D$2:$D$500,기준SD!$E$2:$E$500,$B$1&amp;"|"&amp;J$3,기준SD!$C$2:$C$500,$A16))</f>
        <v/>
      </c>
      <c r="K16" s="32" t="str">
        <f aca="false">IF(COUNTIFS(기준SD!$E$2:$E$500,$B$1&amp;"|"&amp;K$3,기준SD!$C$2:$C$500,$A16)=0,"",SUMIFS(기준SD!$D$2:$D$500,기준SD!$E$2:$E$500,$B$1&amp;"|"&amp;K$3,기준SD!$C$2:$C$500,$A16))</f>
        <v/>
      </c>
      <c r="L16" s="32" t="n">
        <f aca="false">IF(COUNTIFS(기준SD!$E$2:$E$500,$B$1&amp;"|"&amp;L$3,기준SD!$C$2:$C$500,$A16)=0,"",SUMIFS(기준SD!$D$2:$D$500,기준SD!$E$2:$E$500,$B$1&amp;"|"&amp;L$3,기준SD!$C$2:$C$500,$A16))</f>
        <v>0.045</v>
      </c>
      <c r="M16" s="32" t="str">
        <f aca="false">IF(COUNTIFS(기준SD!$E$2:$E$500,$B$1&amp;"|"&amp;M$3,기준SD!$C$2:$C$500,$A16)=0,"",SUMIFS(기준SD!$D$2:$D$500,기준SD!$E$2:$E$500,$B$1&amp;"|"&amp;M$3,기준SD!$C$2:$C$500,$A16))</f>
        <v/>
      </c>
      <c r="N16" s="32" t="n">
        <f aca="false">IF(COUNTIFS(기준SD!$E$2:$E$500,$B$1&amp;"|"&amp;N$3,기준SD!$C$2:$C$500,$A16)=0,"",SUMIFS(기준SD!$D$2:$D$500,기준SD!$E$2:$E$500,$B$1&amp;"|"&amp;N$3,기준SD!$C$2:$C$500,$A16))</f>
        <v>0.032</v>
      </c>
      <c r="O16" s="32" t="str">
        <f aca="false">IF(COUNTIFS(기준SD!$E$2:$E$500,$B$1&amp;"|"&amp;O$3,기준SD!$C$2:$C$500,$A16)=0,"",SUMIFS(기준SD!$D$2:$D$500,기준SD!$E$2:$E$500,$B$1&amp;"|"&amp;O$3,기준SD!$C$2:$C$500,$A16))</f>
        <v/>
      </c>
      <c r="P16" s="32" t="str">
        <f aca="false">IF(COUNTIFS(기준SD!$E$2:$E$500,$B$1&amp;"|"&amp;P$3,기준SD!$C$2:$C$500,$A16)=0,"",SUMIFS(기준SD!$D$2:$D$500,기준SD!$E$2:$E$500,$B$1&amp;"|"&amp;P$3,기준SD!$C$2:$C$500,$A16))</f>
        <v/>
      </c>
      <c r="Q16" s="32" t="str">
        <f aca="false">IF(COUNTIFS(기준SD!$E$2:$E$500,$B$1&amp;"|"&amp;Q$3,기준SD!$C$2:$C$500,$A16)=0,"",SUMIFS(기준SD!$D$2:$D$500,기준SD!$E$2:$E$500,$B$1&amp;"|"&amp;Q$3,기준SD!$C$2:$C$500,$A16))</f>
        <v/>
      </c>
      <c r="R16" s="32" t="n">
        <f aca="false">IF(COUNTIFS(기준SD!$E$2:$E$500,$B$1&amp;"|"&amp;R$3,기준SD!$C$2:$C$500,$A16)=0,"",SUMIFS(기준SD!$D$2:$D$500,기준SD!$E$2:$E$500,$B$1&amp;"|"&amp;R$3,기준SD!$C$2:$C$500,$A16))</f>
        <v>0.024</v>
      </c>
      <c r="S16" s="32" t="str">
        <f aca="false">IF(COUNTIFS(기준SD!$E$2:$E$500,$B$1&amp;"|"&amp;S$3,기준SD!$C$2:$C$500,$A16)=0,"",SUMIFS(기준SD!$D$2:$D$500,기준SD!$E$2:$E$500,$B$1&amp;"|"&amp;S$3,기준SD!$C$2:$C$500,$A16))</f>
        <v/>
      </c>
    </row>
    <row r="17" customFormat="false" ht="15" hidden="false" customHeight="false" outlineLevel="0" collapsed="false">
      <c r="A17" s="31" t="n">
        <v>10</v>
      </c>
      <c r="B17" s="32" t="str">
        <f aca="false">IF(COUNTIFS(기준SD!$E$2:$E$500,$B$1&amp;"|"&amp;B$3,기준SD!$C$2:$C$500,$A17)=0,"",SUMIFS(기준SD!$D$2:$D$500,기준SD!$E$2:$E$500,$B$1&amp;"|"&amp;B$3,기준SD!$C$2:$C$500,$A17))</f>
        <v/>
      </c>
      <c r="C17" s="32" t="str">
        <f aca="false">IF(COUNTIFS(기준SD!$E$2:$E$500,$B$1&amp;"|"&amp;C$3,기준SD!$C$2:$C$500,$A17)=0,"",SUMIFS(기준SD!$D$2:$D$500,기준SD!$E$2:$E$500,$B$1&amp;"|"&amp;C$3,기준SD!$C$2:$C$500,$A17))</f>
        <v/>
      </c>
      <c r="D17" s="32" t="str">
        <f aca="false">IF(COUNTIFS(기준SD!$E$2:$E$500,$B$1&amp;"|"&amp;D$3,기준SD!$C$2:$C$500,$A17)=0,"",SUMIFS(기준SD!$D$2:$D$500,기준SD!$E$2:$E$500,$B$1&amp;"|"&amp;D$3,기준SD!$C$2:$C$500,$A17))</f>
        <v/>
      </c>
      <c r="E17" s="32" t="str">
        <f aca="false">IF(COUNTIFS(기준SD!$E$2:$E$500,$B$1&amp;"|"&amp;E$3,기준SD!$C$2:$C$500,$A17)=0,"",SUMIFS(기준SD!$D$2:$D$500,기준SD!$E$2:$E$500,$B$1&amp;"|"&amp;E$3,기준SD!$C$2:$C$500,$A17))</f>
        <v/>
      </c>
      <c r="F17" s="32" t="str">
        <f aca="false">IF(COUNTIFS(기준SD!$E$2:$E$500,$B$1&amp;"|"&amp;F$3,기준SD!$C$2:$C$500,$A17)=0,"",SUMIFS(기준SD!$D$2:$D$500,기준SD!$E$2:$E$500,$B$1&amp;"|"&amp;F$3,기준SD!$C$2:$C$500,$A17))</f>
        <v/>
      </c>
      <c r="G17" s="32" t="n">
        <f aca="false">IF(COUNTIFS(기준SD!$E$2:$E$500,$B$1&amp;"|"&amp;G$3,기준SD!$C$2:$C$500,$A17)=0,"",SUMIFS(기준SD!$D$2:$D$500,기준SD!$E$2:$E$500,$B$1&amp;"|"&amp;G$3,기준SD!$C$2:$C$500,$A17))</f>
        <v>0.06</v>
      </c>
      <c r="H17" s="32" t="n">
        <f aca="false">IF(COUNTIFS(기준SD!$E$2:$E$500,$B$1&amp;"|"&amp;H$3,기준SD!$C$2:$C$500,$A17)=0,"",SUMIFS(기준SD!$D$2:$D$500,기준SD!$E$2:$E$500,$B$1&amp;"|"&amp;H$3,기준SD!$C$2:$C$500,$A17))</f>
        <v>0.07</v>
      </c>
      <c r="I17" s="32" t="str">
        <f aca="false">IF(COUNTIFS(기준SD!$E$2:$E$500,$B$1&amp;"|"&amp;I$3,기준SD!$C$2:$C$500,$A17)=0,"",SUMIFS(기준SD!$D$2:$D$500,기준SD!$E$2:$E$500,$B$1&amp;"|"&amp;I$3,기준SD!$C$2:$C$500,$A17))</f>
        <v/>
      </c>
      <c r="J17" s="32" t="str">
        <f aca="false">IF(COUNTIFS(기준SD!$E$2:$E$500,$B$1&amp;"|"&amp;J$3,기준SD!$C$2:$C$500,$A17)=0,"",SUMIFS(기준SD!$D$2:$D$500,기준SD!$E$2:$E$500,$B$1&amp;"|"&amp;J$3,기준SD!$C$2:$C$500,$A17))</f>
        <v/>
      </c>
      <c r="K17" s="32" t="n">
        <f aca="false">IF(COUNTIFS(기준SD!$E$2:$E$500,$B$1&amp;"|"&amp;K$3,기준SD!$C$2:$C$500,$A17)=0,"",SUMIFS(기준SD!$D$2:$D$500,기준SD!$E$2:$E$500,$B$1&amp;"|"&amp;K$3,기준SD!$C$2:$C$500,$A17))</f>
        <v>0.04</v>
      </c>
      <c r="L17" s="32" t="n">
        <f aca="false">IF(COUNTIFS(기준SD!$E$2:$E$500,$B$1&amp;"|"&amp;L$3,기준SD!$C$2:$C$500,$A17)=0,"",SUMIFS(기준SD!$D$2:$D$500,기준SD!$E$2:$E$500,$B$1&amp;"|"&amp;L$3,기준SD!$C$2:$C$500,$A17))</f>
        <v>0.07</v>
      </c>
      <c r="M17" s="32" t="str">
        <f aca="false">IF(COUNTIFS(기준SD!$E$2:$E$500,$B$1&amp;"|"&amp;M$3,기준SD!$C$2:$C$500,$A17)=0,"",SUMIFS(기준SD!$D$2:$D$500,기준SD!$E$2:$E$500,$B$1&amp;"|"&amp;M$3,기준SD!$C$2:$C$500,$A17))</f>
        <v/>
      </c>
      <c r="N17" s="32" t="n">
        <f aca="false">IF(COUNTIFS(기준SD!$E$2:$E$500,$B$1&amp;"|"&amp;N$3,기준SD!$C$2:$C$500,$A17)=0,"",SUMIFS(기준SD!$D$2:$D$500,기준SD!$E$2:$E$500,$B$1&amp;"|"&amp;N$3,기준SD!$C$2:$C$500,$A17))</f>
        <v>0.05</v>
      </c>
      <c r="O17" s="32" t="str">
        <f aca="false">IF(COUNTIFS(기준SD!$E$2:$E$500,$B$1&amp;"|"&amp;O$3,기준SD!$C$2:$C$500,$A17)=0,"",SUMIFS(기준SD!$D$2:$D$500,기준SD!$E$2:$E$500,$B$1&amp;"|"&amp;O$3,기준SD!$C$2:$C$500,$A17))</f>
        <v/>
      </c>
      <c r="P17" s="32" t="str">
        <f aca="false">IF(COUNTIFS(기준SD!$E$2:$E$500,$B$1&amp;"|"&amp;P$3,기준SD!$C$2:$C$500,$A17)=0,"",SUMIFS(기준SD!$D$2:$D$500,기준SD!$E$2:$E$500,$B$1&amp;"|"&amp;P$3,기준SD!$C$2:$C$500,$A17))</f>
        <v/>
      </c>
      <c r="Q17" s="32" t="str">
        <f aca="false">IF(COUNTIFS(기준SD!$E$2:$E$500,$B$1&amp;"|"&amp;Q$3,기준SD!$C$2:$C$500,$A17)=0,"",SUMIFS(기준SD!$D$2:$D$500,기준SD!$E$2:$E$500,$B$1&amp;"|"&amp;Q$3,기준SD!$C$2:$C$500,$A17))</f>
        <v/>
      </c>
      <c r="R17" s="32" t="n">
        <f aca="false">IF(COUNTIFS(기준SD!$E$2:$E$500,$B$1&amp;"|"&amp;R$3,기준SD!$C$2:$C$500,$A17)=0,"",SUMIFS(기준SD!$D$2:$D$500,기준SD!$E$2:$E$500,$B$1&amp;"|"&amp;R$3,기준SD!$C$2:$C$500,$A17))</f>
        <v>0.05</v>
      </c>
      <c r="S17" s="32" t="str">
        <f aca="false">IF(COUNTIFS(기준SD!$E$2:$E$500,$B$1&amp;"|"&amp;S$3,기준SD!$C$2:$C$500,$A17)=0,"",SUMIFS(기준SD!$D$2:$D$500,기준SD!$E$2:$E$500,$B$1&amp;"|"&amp;S$3,기준SD!$C$2:$C$500,$A17))</f>
        <v/>
      </c>
    </row>
    <row r="18" customFormat="false" ht="15" hidden="false" customHeight="false" outlineLevel="0" collapsed="false">
      <c r="A18" s="31" t="n">
        <v>20</v>
      </c>
      <c r="B18" s="32" t="str">
        <f aca="false">IF(COUNTIFS(기준SD!$E$2:$E$500,$B$1&amp;"|"&amp;B$3,기준SD!$C$2:$C$500,$A18)=0,"",SUMIFS(기준SD!$D$2:$D$500,기준SD!$E$2:$E$500,$B$1&amp;"|"&amp;B$3,기준SD!$C$2:$C$500,$A18))</f>
        <v/>
      </c>
      <c r="C18" s="32" t="str">
        <f aca="false">IF(COUNTIFS(기준SD!$E$2:$E$500,$B$1&amp;"|"&amp;C$3,기준SD!$C$2:$C$500,$A18)=0,"",SUMIFS(기준SD!$D$2:$D$500,기준SD!$E$2:$E$500,$B$1&amp;"|"&amp;C$3,기준SD!$C$2:$C$500,$A18))</f>
        <v/>
      </c>
      <c r="D18" s="32" t="str">
        <f aca="false">IF(COUNTIFS(기준SD!$E$2:$E$500,$B$1&amp;"|"&amp;D$3,기준SD!$C$2:$C$500,$A18)=0,"",SUMIFS(기준SD!$D$2:$D$500,기준SD!$E$2:$E$500,$B$1&amp;"|"&amp;D$3,기준SD!$C$2:$C$500,$A18))</f>
        <v/>
      </c>
      <c r="E18" s="32" t="str">
        <f aca="false">IF(COUNTIFS(기준SD!$E$2:$E$500,$B$1&amp;"|"&amp;E$3,기준SD!$C$2:$C$500,$A18)=0,"",SUMIFS(기준SD!$D$2:$D$500,기준SD!$E$2:$E$500,$B$1&amp;"|"&amp;E$3,기준SD!$C$2:$C$500,$A18))</f>
        <v/>
      </c>
      <c r="F18" s="32" t="str">
        <f aca="false">IF(COUNTIFS(기준SD!$E$2:$E$500,$B$1&amp;"|"&amp;F$3,기준SD!$C$2:$C$500,$A18)=0,"",SUMIFS(기준SD!$D$2:$D$500,기준SD!$E$2:$E$500,$B$1&amp;"|"&amp;F$3,기준SD!$C$2:$C$500,$A18))</f>
        <v/>
      </c>
      <c r="G18" s="32" t="str">
        <f aca="false">IF(COUNTIFS(기준SD!$E$2:$E$500,$B$1&amp;"|"&amp;G$3,기준SD!$C$2:$C$500,$A18)=0,"",SUMIFS(기준SD!$D$2:$D$500,기준SD!$E$2:$E$500,$B$1&amp;"|"&amp;G$3,기준SD!$C$2:$C$500,$A18))</f>
        <v/>
      </c>
      <c r="H18" s="32" t="n">
        <f aca="false">IF(COUNTIFS(기준SD!$E$2:$E$500,$B$1&amp;"|"&amp;H$3,기준SD!$C$2:$C$500,$A18)=0,"",SUMIFS(기준SD!$D$2:$D$500,기준SD!$E$2:$E$500,$B$1&amp;"|"&amp;H$3,기준SD!$C$2:$C$500,$A18))</f>
        <v>0.09</v>
      </c>
      <c r="I18" s="32" t="str">
        <f aca="false">IF(COUNTIFS(기준SD!$E$2:$E$500,$B$1&amp;"|"&amp;I$3,기준SD!$C$2:$C$500,$A18)=0,"",SUMIFS(기준SD!$D$2:$D$500,기준SD!$E$2:$E$500,$B$1&amp;"|"&amp;I$3,기준SD!$C$2:$C$500,$A18))</f>
        <v/>
      </c>
      <c r="J18" s="32" t="str">
        <f aca="false">IF(COUNTIFS(기준SD!$E$2:$E$500,$B$1&amp;"|"&amp;J$3,기준SD!$C$2:$C$500,$A18)=0,"",SUMIFS(기준SD!$D$2:$D$500,기준SD!$E$2:$E$500,$B$1&amp;"|"&amp;J$3,기준SD!$C$2:$C$500,$A18))</f>
        <v/>
      </c>
      <c r="K18" s="32" t="n">
        <f aca="false">IF(COUNTIFS(기준SD!$E$2:$E$500,$B$1&amp;"|"&amp;K$3,기준SD!$C$2:$C$500,$A18)=0,"",SUMIFS(기준SD!$D$2:$D$500,기준SD!$E$2:$E$500,$B$1&amp;"|"&amp;K$3,기준SD!$C$2:$C$500,$A18))</f>
        <v>0.15</v>
      </c>
      <c r="L18" s="32" t="str">
        <f aca="false">IF(COUNTIFS(기준SD!$E$2:$E$500,$B$1&amp;"|"&amp;L$3,기준SD!$C$2:$C$500,$A18)=0,"",SUMIFS(기준SD!$D$2:$D$500,기준SD!$E$2:$E$500,$B$1&amp;"|"&amp;L$3,기준SD!$C$2:$C$500,$A18))</f>
        <v/>
      </c>
      <c r="M18" s="32" t="str">
        <f aca="false">IF(COUNTIFS(기준SD!$E$2:$E$500,$B$1&amp;"|"&amp;M$3,기준SD!$C$2:$C$500,$A18)=0,"",SUMIFS(기준SD!$D$2:$D$500,기준SD!$E$2:$E$500,$B$1&amp;"|"&amp;M$3,기준SD!$C$2:$C$500,$A18))</f>
        <v/>
      </c>
      <c r="N18" s="32" t="n">
        <f aca="false">IF(COUNTIFS(기준SD!$E$2:$E$500,$B$1&amp;"|"&amp;N$3,기준SD!$C$2:$C$500,$A18)=0,"",SUMIFS(기준SD!$D$2:$D$500,기준SD!$E$2:$E$500,$B$1&amp;"|"&amp;N$3,기준SD!$C$2:$C$500,$A18))</f>
        <v>0.17</v>
      </c>
      <c r="O18" s="32" t="str">
        <f aca="false">IF(COUNTIFS(기준SD!$E$2:$E$500,$B$1&amp;"|"&amp;O$3,기준SD!$C$2:$C$500,$A18)=0,"",SUMIFS(기준SD!$D$2:$D$500,기준SD!$E$2:$E$500,$B$1&amp;"|"&amp;O$3,기준SD!$C$2:$C$500,$A18))</f>
        <v/>
      </c>
      <c r="P18" s="32" t="str">
        <f aca="false">IF(COUNTIFS(기준SD!$E$2:$E$500,$B$1&amp;"|"&amp;P$3,기준SD!$C$2:$C$500,$A18)=0,"",SUMIFS(기준SD!$D$2:$D$500,기준SD!$E$2:$E$500,$B$1&amp;"|"&amp;P$3,기준SD!$C$2:$C$500,$A18))</f>
        <v/>
      </c>
      <c r="Q18" s="32" t="str">
        <f aca="false">IF(COUNTIFS(기준SD!$E$2:$E$500,$B$1&amp;"|"&amp;Q$3,기준SD!$C$2:$C$500,$A18)=0,"",SUMIFS(기준SD!$D$2:$D$500,기준SD!$E$2:$E$500,$B$1&amp;"|"&amp;Q$3,기준SD!$C$2:$C$500,$A18))</f>
        <v/>
      </c>
      <c r="R18" s="32" t="n">
        <f aca="false">IF(COUNTIFS(기준SD!$E$2:$E$500,$B$1&amp;"|"&amp;R$3,기준SD!$C$2:$C$500,$A18)=0,"",SUMIFS(기준SD!$D$2:$D$500,기준SD!$E$2:$E$500,$B$1&amp;"|"&amp;R$3,기준SD!$C$2:$C$500,$A18))</f>
        <v>0.1</v>
      </c>
      <c r="S18" s="32" t="str">
        <f aca="false">IF(COUNTIFS(기준SD!$E$2:$E$500,$B$1&amp;"|"&amp;S$3,기준SD!$C$2:$C$500,$A18)=0,"",SUMIFS(기준SD!$D$2:$D$500,기준SD!$E$2:$E$500,$B$1&amp;"|"&amp;S$3,기준SD!$C$2:$C$500,$A18))</f>
        <v/>
      </c>
    </row>
    <row r="19" customFormat="false" ht="15" hidden="false" customHeight="false" outlineLevel="0" collapsed="false">
      <c r="A19" s="31" t="n">
        <v>30</v>
      </c>
      <c r="B19" s="32" t="str">
        <f aca="false">IF(COUNTIFS(기준SD!$E$2:$E$500,$B$1&amp;"|"&amp;B$3,기준SD!$C$2:$C$500,$A19)=0,"",SUMIFS(기준SD!$D$2:$D$500,기준SD!$E$2:$E$500,$B$1&amp;"|"&amp;B$3,기준SD!$C$2:$C$500,$A19))</f>
        <v/>
      </c>
      <c r="C19" s="32" t="str">
        <f aca="false">IF(COUNTIFS(기준SD!$E$2:$E$500,$B$1&amp;"|"&amp;C$3,기준SD!$C$2:$C$500,$A19)=0,"",SUMIFS(기준SD!$D$2:$D$500,기준SD!$E$2:$E$500,$B$1&amp;"|"&amp;C$3,기준SD!$C$2:$C$500,$A19))</f>
        <v/>
      </c>
      <c r="D19" s="32" t="str">
        <f aca="false">IF(COUNTIFS(기준SD!$E$2:$E$500,$B$1&amp;"|"&amp;D$3,기준SD!$C$2:$C$500,$A19)=0,"",SUMIFS(기준SD!$D$2:$D$500,기준SD!$E$2:$E$500,$B$1&amp;"|"&amp;D$3,기준SD!$C$2:$C$500,$A19))</f>
        <v/>
      </c>
      <c r="E19" s="32" t="str">
        <f aca="false">IF(COUNTIFS(기준SD!$E$2:$E$500,$B$1&amp;"|"&amp;E$3,기준SD!$C$2:$C$500,$A19)=0,"",SUMIFS(기준SD!$D$2:$D$500,기준SD!$E$2:$E$500,$B$1&amp;"|"&amp;E$3,기준SD!$C$2:$C$500,$A19))</f>
        <v/>
      </c>
      <c r="F19" s="32" t="str">
        <f aca="false">IF(COUNTIFS(기준SD!$E$2:$E$500,$B$1&amp;"|"&amp;F$3,기준SD!$C$2:$C$500,$A19)=0,"",SUMIFS(기준SD!$D$2:$D$500,기준SD!$E$2:$E$500,$B$1&amp;"|"&amp;F$3,기준SD!$C$2:$C$500,$A19))</f>
        <v/>
      </c>
      <c r="G19" s="32" t="str">
        <f aca="false">IF(COUNTIFS(기준SD!$E$2:$E$500,$B$1&amp;"|"&amp;G$3,기준SD!$C$2:$C$500,$A19)=0,"",SUMIFS(기준SD!$D$2:$D$500,기준SD!$E$2:$E$500,$B$1&amp;"|"&amp;G$3,기준SD!$C$2:$C$500,$A19))</f>
        <v/>
      </c>
      <c r="H19" s="32" t="n">
        <f aca="false">IF(COUNTIFS(기준SD!$E$2:$E$500,$B$1&amp;"|"&amp;H$3,기준SD!$C$2:$C$500,$A19)=0,"",SUMIFS(기준SD!$D$2:$D$500,기준SD!$E$2:$E$500,$B$1&amp;"|"&amp;H$3,기준SD!$C$2:$C$500,$A19))</f>
        <v>0.19</v>
      </c>
      <c r="I19" s="32" t="str">
        <f aca="false">IF(COUNTIFS(기준SD!$E$2:$E$500,$B$1&amp;"|"&amp;I$3,기준SD!$C$2:$C$500,$A19)=0,"",SUMIFS(기준SD!$D$2:$D$500,기준SD!$E$2:$E$500,$B$1&amp;"|"&amp;I$3,기준SD!$C$2:$C$500,$A19))</f>
        <v/>
      </c>
      <c r="J19" s="32" t="str">
        <f aca="false">IF(COUNTIFS(기준SD!$E$2:$E$500,$B$1&amp;"|"&amp;J$3,기준SD!$C$2:$C$500,$A19)=0,"",SUMIFS(기준SD!$D$2:$D$500,기준SD!$E$2:$E$500,$B$1&amp;"|"&amp;J$3,기준SD!$C$2:$C$500,$A19))</f>
        <v/>
      </c>
      <c r="K19" s="32" t="str">
        <f aca="false">IF(COUNTIFS(기준SD!$E$2:$E$500,$B$1&amp;"|"&amp;K$3,기준SD!$C$2:$C$500,$A19)=0,"",SUMIFS(기준SD!$D$2:$D$500,기준SD!$E$2:$E$500,$B$1&amp;"|"&amp;K$3,기준SD!$C$2:$C$500,$A19))</f>
        <v/>
      </c>
      <c r="L19" s="32" t="str">
        <f aca="false">IF(COUNTIFS(기준SD!$E$2:$E$500,$B$1&amp;"|"&amp;L$3,기준SD!$C$2:$C$500,$A19)=0,"",SUMIFS(기준SD!$D$2:$D$500,기준SD!$E$2:$E$500,$B$1&amp;"|"&amp;L$3,기준SD!$C$2:$C$500,$A19))</f>
        <v/>
      </c>
      <c r="M19" s="32" t="str">
        <f aca="false">IF(COUNTIFS(기준SD!$E$2:$E$500,$B$1&amp;"|"&amp;M$3,기준SD!$C$2:$C$500,$A19)=0,"",SUMIFS(기준SD!$D$2:$D$500,기준SD!$E$2:$E$500,$B$1&amp;"|"&amp;M$3,기준SD!$C$2:$C$500,$A19))</f>
        <v/>
      </c>
      <c r="N19" s="32" t="n">
        <f aca="false">IF(COUNTIFS(기준SD!$E$2:$E$500,$B$1&amp;"|"&amp;N$3,기준SD!$C$2:$C$500,$A19)=0,"",SUMIFS(기준SD!$D$2:$D$500,기준SD!$E$2:$E$500,$B$1&amp;"|"&amp;N$3,기준SD!$C$2:$C$500,$A19))</f>
        <v>0.22</v>
      </c>
      <c r="O19" s="32" t="str">
        <f aca="false">IF(COUNTIFS(기준SD!$E$2:$E$500,$B$1&amp;"|"&amp;O$3,기준SD!$C$2:$C$500,$A19)=0,"",SUMIFS(기준SD!$D$2:$D$500,기준SD!$E$2:$E$500,$B$1&amp;"|"&amp;O$3,기준SD!$C$2:$C$500,$A19))</f>
        <v/>
      </c>
      <c r="P19" s="32" t="str">
        <f aca="false">IF(COUNTIFS(기준SD!$E$2:$E$500,$B$1&amp;"|"&amp;P$3,기준SD!$C$2:$C$500,$A19)=0,"",SUMIFS(기준SD!$D$2:$D$500,기준SD!$E$2:$E$500,$B$1&amp;"|"&amp;P$3,기준SD!$C$2:$C$500,$A19))</f>
        <v/>
      </c>
      <c r="Q19" s="32" t="str">
        <f aca="false">IF(COUNTIFS(기준SD!$E$2:$E$500,$B$1&amp;"|"&amp;Q$3,기준SD!$C$2:$C$500,$A19)=0,"",SUMIFS(기준SD!$D$2:$D$500,기준SD!$E$2:$E$500,$B$1&amp;"|"&amp;Q$3,기준SD!$C$2:$C$500,$A19))</f>
        <v/>
      </c>
      <c r="R19" s="32" t="str">
        <f aca="false">IF(COUNTIFS(기준SD!$E$2:$E$500,$B$1&amp;"|"&amp;R$3,기준SD!$C$2:$C$500,$A19)=0,"",SUMIFS(기준SD!$D$2:$D$500,기준SD!$E$2:$E$500,$B$1&amp;"|"&amp;R$3,기준SD!$C$2:$C$500,$A19))</f>
        <v/>
      </c>
      <c r="S19" s="32" t="str">
        <f aca="false">IF(COUNTIFS(기준SD!$E$2:$E$500,$B$1&amp;"|"&amp;S$3,기준SD!$C$2:$C$500,$A19)=0,"",SUMIFS(기준SD!$D$2:$D$500,기준SD!$E$2:$E$500,$B$1&amp;"|"&amp;S$3,기준SD!$C$2:$C$500,$A19))</f>
        <v/>
      </c>
    </row>
    <row r="20" customFormat="false" ht="15" hidden="false" customHeight="false" outlineLevel="0" collapsed="false">
      <c r="A20" s="31" t="n">
        <v>40</v>
      </c>
      <c r="B20" s="32" t="str">
        <f aca="false">IF(COUNTIFS(기준SD!$E$2:$E$500,$B$1&amp;"|"&amp;B$3,기준SD!$C$2:$C$500,$A20)=0,"",SUMIFS(기준SD!$D$2:$D$500,기준SD!$E$2:$E$500,$B$1&amp;"|"&amp;B$3,기준SD!$C$2:$C$500,$A20))</f>
        <v/>
      </c>
      <c r="C20" s="32" t="str">
        <f aca="false">IF(COUNTIFS(기준SD!$E$2:$E$500,$B$1&amp;"|"&amp;C$3,기준SD!$C$2:$C$500,$A20)=0,"",SUMIFS(기준SD!$D$2:$D$500,기준SD!$E$2:$E$500,$B$1&amp;"|"&amp;C$3,기준SD!$C$2:$C$500,$A20))</f>
        <v/>
      </c>
      <c r="D20" s="32" t="str">
        <f aca="false">IF(COUNTIFS(기준SD!$E$2:$E$500,$B$1&amp;"|"&amp;D$3,기준SD!$C$2:$C$500,$A20)=0,"",SUMIFS(기준SD!$D$2:$D$500,기준SD!$E$2:$E$500,$B$1&amp;"|"&amp;D$3,기준SD!$C$2:$C$500,$A20))</f>
        <v/>
      </c>
      <c r="E20" s="32" t="str">
        <f aca="false">IF(COUNTIFS(기준SD!$E$2:$E$500,$B$1&amp;"|"&amp;E$3,기준SD!$C$2:$C$500,$A20)=0,"",SUMIFS(기준SD!$D$2:$D$500,기준SD!$E$2:$E$500,$B$1&amp;"|"&amp;E$3,기준SD!$C$2:$C$500,$A20))</f>
        <v/>
      </c>
      <c r="F20" s="32" t="str">
        <f aca="false">IF(COUNTIFS(기준SD!$E$2:$E$500,$B$1&amp;"|"&amp;F$3,기준SD!$C$2:$C$500,$A20)=0,"",SUMIFS(기준SD!$D$2:$D$500,기준SD!$E$2:$E$500,$B$1&amp;"|"&amp;F$3,기준SD!$C$2:$C$500,$A20))</f>
        <v/>
      </c>
      <c r="G20" s="32" t="str">
        <f aca="false">IF(COUNTIFS(기준SD!$E$2:$E$500,$B$1&amp;"|"&amp;G$3,기준SD!$C$2:$C$500,$A20)=0,"",SUMIFS(기준SD!$D$2:$D$500,기준SD!$E$2:$E$500,$B$1&amp;"|"&amp;G$3,기준SD!$C$2:$C$500,$A20))</f>
        <v/>
      </c>
      <c r="H20" s="32" t="str">
        <f aca="false">IF(COUNTIFS(기준SD!$E$2:$E$500,$B$1&amp;"|"&amp;H$3,기준SD!$C$2:$C$500,$A20)=0,"",SUMIFS(기준SD!$D$2:$D$500,기준SD!$E$2:$E$500,$B$1&amp;"|"&amp;H$3,기준SD!$C$2:$C$500,$A20))</f>
        <v/>
      </c>
      <c r="I20" s="32" t="str">
        <f aca="false">IF(COUNTIFS(기준SD!$E$2:$E$500,$B$1&amp;"|"&amp;I$3,기준SD!$C$2:$C$500,$A20)=0,"",SUMIFS(기준SD!$D$2:$D$500,기준SD!$E$2:$E$500,$B$1&amp;"|"&amp;I$3,기준SD!$C$2:$C$500,$A20))</f>
        <v/>
      </c>
      <c r="J20" s="32" t="str">
        <f aca="false">IF(COUNTIFS(기준SD!$E$2:$E$500,$B$1&amp;"|"&amp;J$3,기준SD!$C$2:$C$500,$A20)=0,"",SUMIFS(기준SD!$D$2:$D$500,기준SD!$E$2:$E$500,$B$1&amp;"|"&amp;J$3,기준SD!$C$2:$C$500,$A20))</f>
        <v/>
      </c>
      <c r="K20" s="32" t="str">
        <f aca="false">IF(COUNTIFS(기준SD!$E$2:$E$500,$B$1&amp;"|"&amp;K$3,기준SD!$C$2:$C$500,$A20)=0,"",SUMIFS(기준SD!$D$2:$D$500,기준SD!$E$2:$E$500,$B$1&amp;"|"&amp;K$3,기준SD!$C$2:$C$500,$A20))</f>
        <v/>
      </c>
      <c r="L20" s="32" t="str">
        <f aca="false">IF(COUNTIFS(기준SD!$E$2:$E$500,$B$1&amp;"|"&amp;L$3,기준SD!$C$2:$C$500,$A20)=0,"",SUMIFS(기준SD!$D$2:$D$500,기준SD!$E$2:$E$500,$B$1&amp;"|"&amp;L$3,기준SD!$C$2:$C$500,$A20))</f>
        <v/>
      </c>
      <c r="M20" s="32" t="str">
        <f aca="false">IF(COUNTIFS(기준SD!$E$2:$E$500,$B$1&amp;"|"&amp;M$3,기준SD!$C$2:$C$500,$A20)=0,"",SUMIFS(기준SD!$D$2:$D$500,기준SD!$E$2:$E$500,$B$1&amp;"|"&amp;M$3,기준SD!$C$2:$C$500,$A20))</f>
        <v/>
      </c>
      <c r="N20" s="32" t="n">
        <f aca="false">IF(COUNTIFS(기준SD!$E$2:$E$500,$B$1&amp;"|"&amp;N$3,기준SD!$C$2:$C$500,$A20)=0,"",SUMIFS(기준SD!$D$2:$D$500,기준SD!$E$2:$E$500,$B$1&amp;"|"&amp;N$3,기준SD!$C$2:$C$500,$A20))</f>
        <v>0.4</v>
      </c>
      <c r="O20" s="32" t="str">
        <f aca="false">IF(COUNTIFS(기준SD!$E$2:$E$500,$B$1&amp;"|"&amp;O$3,기준SD!$C$2:$C$500,$A20)=0,"",SUMIFS(기준SD!$D$2:$D$500,기준SD!$E$2:$E$500,$B$1&amp;"|"&amp;O$3,기준SD!$C$2:$C$500,$A20))</f>
        <v/>
      </c>
      <c r="P20" s="32" t="str">
        <f aca="false">IF(COUNTIFS(기준SD!$E$2:$E$500,$B$1&amp;"|"&amp;P$3,기준SD!$C$2:$C$500,$A20)=0,"",SUMIFS(기준SD!$D$2:$D$500,기준SD!$E$2:$E$500,$B$1&amp;"|"&amp;P$3,기준SD!$C$2:$C$500,$A20))</f>
        <v/>
      </c>
      <c r="Q20" s="32" t="str">
        <f aca="false">IF(COUNTIFS(기준SD!$E$2:$E$500,$B$1&amp;"|"&amp;Q$3,기준SD!$C$2:$C$500,$A20)=0,"",SUMIFS(기준SD!$D$2:$D$500,기준SD!$E$2:$E$500,$B$1&amp;"|"&amp;Q$3,기준SD!$C$2:$C$500,$A20))</f>
        <v/>
      </c>
      <c r="R20" s="32" t="str">
        <f aca="false">IF(COUNTIFS(기준SD!$E$2:$E$500,$B$1&amp;"|"&amp;R$3,기준SD!$C$2:$C$500,$A20)=0,"",SUMIFS(기준SD!$D$2:$D$500,기준SD!$E$2:$E$500,$B$1&amp;"|"&amp;R$3,기준SD!$C$2:$C$500,$A20))</f>
        <v/>
      </c>
      <c r="S20" s="32" t="str">
        <f aca="false">IF(COUNTIFS(기준SD!$E$2:$E$500,$B$1&amp;"|"&amp;S$3,기준SD!$C$2:$C$500,$A20)=0,"",SUMIFS(기준SD!$D$2:$D$500,기준SD!$E$2:$E$500,$B$1&amp;"|"&amp;S$3,기준SD!$C$2:$C$500,$A20))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2026-10-28T04:30:36Z</dcterms:created>
  <dc:creator>openpyxl</dc:creator>
  <dc:description/>
  <dc:language>en-US</dc:language>
  <cp:lastModifiedBy/>
  <dcterms:modified xsi:type="dcterms:W3CDTF">2026-10-28T04:30:36Z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